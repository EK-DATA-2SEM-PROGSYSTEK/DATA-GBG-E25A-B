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eb/Documents/Forår26/Planlægning/"/>
    </mc:Choice>
  </mc:AlternateContent>
  <xr:revisionPtr revIDLastSave="0" documentId="8_{1894865D-0CB7-4433-8AB1-6E6BAA35940A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kema" sheetId="1" r:id="rId1"/>
    <sheet name="par" sheetId="2" r:id="rId2"/>
    <sheet name="many" sheetId="4" r:id="rId3"/>
    <sheet name="Sheet3" sheetId="3" r:id="rId4"/>
  </sheets>
  <definedNames>
    <definedName name="Validatielijst">par!$A$10:$A$25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4" i="4" l="1"/>
  <c r="I124" i="4"/>
  <c r="H124" i="4"/>
  <c r="F124" i="4"/>
  <c r="D124" i="4"/>
  <c r="E124" i="4"/>
  <c r="C125" i="4"/>
  <c r="K124" i="4"/>
  <c r="G124" i="4"/>
  <c r="C124" i="4"/>
  <c r="B118" i="4"/>
  <c r="B119" i="4" s="1"/>
  <c r="A118" i="4"/>
  <c r="B5" i="4"/>
  <c r="B6" i="4" s="1"/>
  <c r="A5" i="4"/>
  <c r="B5" i="1"/>
  <c r="B6" i="1" s="1"/>
  <c r="I11" i="2"/>
  <c r="J12" i="2" s="1"/>
  <c r="C125" i="1" s="1"/>
  <c r="E21" i="2"/>
  <c r="H2" i="2"/>
  <c r="K124" i="1"/>
  <c r="J124" i="1"/>
  <c r="I124" i="1"/>
  <c r="H124" i="1"/>
  <c r="G124" i="1"/>
  <c r="F124" i="1"/>
  <c r="E124" i="1"/>
  <c r="D124" i="1"/>
  <c r="B7" i="4" l="1"/>
  <c r="A6" i="4"/>
  <c r="B120" i="4"/>
  <c r="A119" i="4"/>
  <c r="B7" i="1"/>
  <c r="A6" i="1"/>
  <c r="A5" i="1"/>
  <c r="J11" i="2"/>
  <c r="C124" i="1" s="1"/>
  <c r="B121" i="4" l="1"/>
  <c r="A120" i="4"/>
  <c r="B8" i="4"/>
  <c r="A7" i="4"/>
  <c r="B8" i="1"/>
  <c r="A7" i="1"/>
  <c r="B9" i="4" l="1"/>
  <c r="A8" i="4"/>
  <c r="B122" i="4"/>
  <c r="A122" i="4" s="1"/>
  <c r="A121" i="4"/>
  <c r="A8" i="1"/>
  <c r="B9" i="1"/>
  <c r="B11" i="4" l="1"/>
  <c r="A9" i="4"/>
  <c r="B11" i="1"/>
  <c r="A9" i="1"/>
  <c r="B12" i="4" l="1"/>
  <c r="A11" i="4"/>
  <c r="B12" i="1"/>
  <c r="A11" i="1"/>
  <c r="B13" i="4" l="1"/>
  <c r="A12" i="4"/>
  <c r="B13" i="1"/>
  <c r="A12" i="1"/>
  <c r="B14" i="4" l="1"/>
  <c r="A13" i="4"/>
  <c r="B14" i="1"/>
  <c r="A13" i="1"/>
  <c r="B15" i="4" l="1"/>
  <c r="A14" i="4"/>
  <c r="B15" i="1"/>
  <c r="A14" i="1"/>
  <c r="B18" i="4" l="1"/>
  <c r="A15" i="4"/>
  <c r="A15" i="1"/>
  <c r="B18" i="1"/>
  <c r="B19" i="4" l="1"/>
  <c r="A18" i="4"/>
  <c r="B19" i="1"/>
  <c r="A18" i="1"/>
  <c r="B20" i="4" l="1"/>
  <c r="A19" i="4"/>
  <c r="A19" i="1"/>
  <c r="B20" i="1"/>
  <c r="B21" i="4" l="1"/>
  <c r="A20" i="4"/>
  <c r="A20" i="1"/>
  <c r="B21" i="1"/>
  <c r="B22" i="4" l="1"/>
  <c r="A21" i="4"/>
  <c r="A21" i="1"/>
  <c r="B22" i="1"/>
  <c r="B24" i="4" l="1"/>
  <c r="A22" i="4"/>
  <c r="B24" i="1"/>
  <c r="A22" i="1"/>
  <c r="B25" i="4" l="1"/>
  <c r="A24" i="4"/>
  <c r="B25" i="1"/>
  <c r="A24" i="1"/>
  <c r="B26" i="4" l="1"/>
  <c r="A25" i="4"/>
  <c r="A25" i="1"/>
  <c r="B26" i="1"/>
  <c r="B27" i="4" l="1"/>
  <c r="A26" i="4"/>
  <c r="B27" i="1"/>
  <c r="A26" i="1"/>
  <c r="B28" i="4" l="1"/>
  <c r="A27" i="4"/>
  <c r="B28" i="1"/>
  <c r="A27" i="1"/>
  <c r="B30" i="4" l="1"/>
  <c r="A28" i="4"/>
  <c r="B30" i="1"/>
  <c r="A28" i="1"/>
  <c r="B31" i="4" l="1"/>
  <c r="A30" i="4"/>
  <c r="B31" i="1"/>
  <c r="A30" i="1"/>
  <c r="B32" i="4" l="1"/>
  <c r="A31" i="4"/>
  <c r="B32" i="1"/>
  <c r="A31" i="1"/>
  <c r="B33" i="4" l="1"/>
  <c r="A32" i="4"/>
  <c r="B33" i="1"/>
  <c r="A32" i="1"/>
  <c r="B34" i="4" l="1"/>
  <c r="A33" i="4"/>
  <c r="B34" i="1"/>
  <c r="A33" i="1"/>
  <c r="B37" i="4" l="1"/>
  <c r="A34" i="4"/>
  <c r="A34" i="1"/>
  <c r="B37" i="1"/>
  <c r="B38" i="4" l="1"/>
  <c r="A37" i="4"/>
  <c r="A37" i="1"/>
  <c r="B38" i="1"/>
  <c r="B39" i="4" l="1"/>
  <c r="A38" i="4"/>
  <c r="A38" i="1"/>
  <c r="B39" i="1"/>
  <c r="B40" i="4" l="1"/>
  <c r="A39" i="4"/>
  <c r="A39" i="1"/>
  <c r="B40" i="1"/>
  <c r="B41" i="4" l="1"/>
  <c r="A40" i="4"/>
  <c r="A40" i="1"/>
  <c r="B41" i="1"/>
  <c r="B43" i="4" l="1"/>
  <c r="A41" i="4"/>
  <c r="A41" i="1"/>
  <c r="B43" i="1"/>
  <c r="B44" i="4" l="1"/>
  <c r="A43" i="4"/>
  <c r="A43" i="1"/>
  <c r="B44" i="1"/>
  <c r="B45" i="4" l="1"/>
  <c r="A44" i="4"/>
  <c r="A44" i="1"/>
  <c r="B45" i="1"/>
  <c r="B46" i="4" l="1"/>
  <c r="A45" i="4"/>
  <c r="A45" i="1"/>
  <c r="B46" i="1"/>
  <c r="B47" i="4" l="1"/>
  <c r="A46" i="4"/>
  <c r="B47" i="1"/>
  <c r="A46" i="1"/>
  <c r="B49" i="4" l="1"/>
  <c r="A47" i="4"/>
  <c r="B49" i="1"/>
  <c r="A47" i="1"/>
  <c r="B50" i="4" l="1"/>
  <c r="A49" i="4"/>
  <c r="B50" i="1"/>
  <c r="A49" i="1"/>
  <c r="B51" i="4" l="1"/>
  <c r="A50" i="4"/>
  <c r="B51" i="1"/>
  <c r="A50" i="1"/>
  <c r="B52" i="4" l="1"/>
  <c r="A51" i="4"/>
  <c r="B52" i="1"/>
  <c r="A51" i="1"/>
  <c r="B53" i="4" l="1"/>
  <c r="A52" i="4"/>
  <c r="B53" i="1"/>
  <c r="A52" i="1"/>
  <c r="B55" i="4" l="1"/>
  <c r="A53" i="4"/>
  <c r="B55" i="1"/>
  <c r="A53" i="1"/>
  <c r="B56" i="4" l="1"/>
  <c r="A55" i="4"/>
  <c r="A55" i="1"/>
  <c r="B56" i="1"/>
  <c r="B57" i="4" l="1"/>
  <c r="A56" i="4"/>
  <c r="B57" i="1"/>
  <c r="A56" i="1"/>
  <c r="B58" i="4" l="1"/>
  <c r="A57" i="4"/>
  <c r="B58" i="1"/>
  <c r="A57" i="1"/>
  <c r="B59" i="4" l="1"/>
  <c r="A58" i="4"/>
  <c r="B59" i="1"/>
  <c r="A58" i="1"/>
  <c r="B62" i="4" l="1"/>
  <c r="A59" i="4"/>
  <c r="A59" i="1"/>
  <c r="B62" i="1"/>
  <c r="B63" i="4" l="1"/>
  <c r="A62" i="4"/>
  <c r="A62" i="1"/>
  <c r="B63" i="1"/>
  <c r="B64" i="4" l="1"/>
  <c r="A63" i="4"/>
  <c r="B64" i="1"/>
  <c r="A63" i="1"/>
  <c r="B65" i="4" l="1"/>
  <c r="A64" i="4"/>
  <c r="A64" i="1"/>
  <c r="B65" i="1"/>
  <c r="B66" i="4" l="1"/>
  <c r="A65" i="4"/>
  <c r="A65" i="1"/>
  <c r="B66" i="1"/>
  <c r="B69" i="4" l="1"/>
  <c r="A66" i="4"/>
  <c r="B69" i="1"/>
  <c r="A66" i="1"/>
  <c r="B70" i="4" l="1"/>
  <c r="A69" i="4"/>
  <c r="B70" i="1"/>
  <c r="A69" i="1"/>
  <c r="B71" i="4" l="1"/>
  <c r="A70" i="4"/>
  <c r="A70" i="1"/>
  <c r="B71" i="1"/>
  <c r="B72" i="4" l="1"/>
  <c r="A71" i="4"/>
  <c r="A71" i="1"/>
  <c r="B72" i="1"/>
  <c r="B73" i="4" l="1"/>
  <c r="A72" i="4"/>
  <c r="B73" i="1"/>
  <c r="A72" i="1"/>
  <c r="B75" i="4" l="1"/>
  <c r="A73" i="4"/>
  <c r="A73" i="1"/>
  <c r="B75" i="1"/>
  <c r="B76" i="4" l="1"/>
  <c r="A75" i="4"/>
  <c r="B76" i="1"/>
  <c r="A75" i="1"/>
  <c r="B77" i="4" l="1"/>
  <c r="A76" i="4"/>
  <c r="B77" i="1"/>
  <c r="A76" i="1"/>
  <c r="B78" i="4" l="1"/>
  <c r="A77" i="4"/>
  <c r="A77" i="1"/>
  <c r="B78" i="1"/>
  <c r="B79" i="4" l="1"/>
  <c r="A78" i="4"/>
  <c r="A78" i="1"/>
  <c r="B79" i="1"/>
  <c r="B81" i="4" l="1"/>
  <c r="A79" i="4"/>
  <c r="B81" i="1"/>
  <c r="A79" i="1"/>
  <c r="B82" i="4" l="1"/>
  <c r="A81" i="4"/>
  <c r="A81" i="1"/>
  <c r="B82" i="1"/>
  <c r="B83" i="4" l="1"/>
  <c r="A82" i="4"/>
  <c r="B83" i="1"/>
  <c r="A82" i="1"/>
  <c r="B84" i="4" l="1"/>
  <c r="A83" i="4"/>
  <c r="A83" i="1"/>
  <c r="B84" i="1"/>
  <c r="B85" i="4" l="1"/>
  <c r="A84" i="4"/>
  <c r="A84" i="1"/>
  <c r="B85" i="1"/>
  <c r="B88" i="4" l="1"/>
  <c r="A85" i="4"/>
  <c r="A85" i="1"/>
  <c r="B88" i="1"/>
  <c r="B89" i="4" l="1"/>
  <c r="A88" i="4"/>
  <c r="B89" i="1"/>
  <c r="A88" i="1"/>
  <c r="B90" i="4" l="1"/>
  <c r="A89" i="4"/>
  <c r="B90" i="1"/>
  <c r="A89" i="1"/>
  <c r="B91" i="4" l="1"/>
  <c r="A90" i="4"/>
  <c r="A90" i="1"/>
  <c r="B91" i="1"/>
  <c r="B92" i="4" l="1"/>
  <c r="A91" i="4"/>
  <c r="B92" i="1"/>
  <c r="A91" i="1"/>
  <c r="B94" i="4" l="1"/>
  <c r="A92" i="4"/>
  <c r="A92" i="1"/>
  <c r="B94" i="1"/>
  <c r="B95" i="4" l="1"/>
  <c r="A94" i="4"/>
  <c r="A94" i="1"/>
  <c r="B95" i="1"/>
  <c r="B96" i="4" l="1"/>
  <c r="A95" i="4"/>
  <c r="B96" i="1"/>
  <c r="A95" i="1"/>
  <c r="B97" i="4" l="1"/>
  <c r="A96" i="4"/>
  <c r="B97" i="1"/>
  <c r="A96" i="1"/>
  <c r="B98" i="4" l="1"/>
  <c r="A97" i="4"/>
  <c r="B98" i="1"/>
  <c r="A97" i="1"/>
  <c r="B100" i="4" l="1"/>
  <c r="A98" i="4"/>
  <c r="A98" i="1"/>
  <c r="B100" i="1"/>
  <c r="B101" i="4" l="1"/>
  <c r="A100" i="4"/>
  <c r="A100" i="1"/>
  <c r="B101" i="1"/>
  <c r="B102" i="4" l="1"/>
  <c r="A101" i="4"/>
  <c r="A101" i="1"/>
  <c r="B102" i="1"/>
  <c r="B103" i="4" l="1"/>
  <c r="A102" i="4"/>
  <c r="B103" i="1"/>
  <c r="A102" i="1"/>
  <c r="B104" i="4" l="1"/>
  <c r="A103" i="4"/>
  <c r="B104" i="1"/>
  <c r="A103" i="1"/>
  <c r="B106" i="4" l="1"/>
  <c r="A104" i="4"/>
  <c r="A104" i="1"/>
  <c r="B106" i="1"/>
  <c r="B107" i="4" l="1"/>
  <c r="A106" i="4"/>
  <c r="A106" i="1"/>
  <c r="B107" i="1"/>
  <c r="B108" i="4" l="1"/>
  <c r="A107" i="4"/>
  <c r="A107" i="1"/>
  <c r="B108" i="1"/>
  <c r="B109" i="4" l="1"/>
  <c r="A108" i="4"/>
  <c r="A108" i="1"/>
  <c r="B109" i="1"/>
  <c r="B110" i="4" l="1"/>
  <c r="A109" i="4"/>
  <c r="B110" i="1"/>
  <c r="A109" i="1"/>
  <c r="B112" i="4" l="1"/>
  <c r="A110" i="4"/>
  <c r="B112" i="1"/>
  <c r="A110" i="1"/>
  <c r="B113" i="4" l="1"/>
  <c r="A112" i="4"/>
  <c r="B113" i="1"/>
  <c r="A112" i="1"/>
  <c r="B114" i="4" l="1"/>
  <c r="A113" i="4"/>
  <c r="A113" i="1"/>
  <c r="B114" i="1"/>
  <c r="B115" i="4" l="1"/>
  <c r="A114" i="4"/>
  <c r="B115" i="1"/>
  <c r="A114" i="1"/>
  <c r="B116" i="4" l="1"/>
  <c r="A116" i="4" s="1"/>
  <c r="A115" i="4"/>
  <c r="A115" i="1"/>
  <c r="B116" i="1"/>
  <c r="A116" i="1" l="1"/>
  <c r="B118" i="1" l="1"/>
  <c r="A118" i="1" l="1"/>
  <c r="B119" i="1"/>
  <c r="B120" i="1" l="1"/>
  <c r="A119" i="1"/>
  <c r="B121" i="1" l="1"/>
  <c r="A120" i="1"/>
  <c r="B122" i="1" l="1"/>
  <c r="A122" i="1" s="1"/>
  <c r="A121" i="1"/>
</calcChain>
</file>

<file path=xl/sharedStrings.xml><?xml version="1.0" encoding="utf-8"?>
<sst xmlns="http://schemas.openxmlformats.org/spreadsheetml/2006/main" count="445" uniqueCount="140">
  <si>
    <t>Uge</t>
  </si>
  <si>
    <t>Dag</t>
  </si>
  <si>
    <t>Emner</t>
  </si>
  <si>
    <t>Hold ?</t>
  </si>
  <si>
    <t>Note</t>
  </si>
  <si>
    <t>SIEB</t>
  </si>
  <si>
    <t>MANY</t>
  </si>
  <si>
    <t>IANB</t>
  </si>
  <si>
    <t>DE</t>
  </si>
  <si>
    <t>Turistguide 1</t>
  </si>
  <si>
    <t>Spring Boot intro</t>
  </si>
  <si>
    <t>Introduktion til semester og Spring Boot</t>
  </si>
  <si>
    <t>Mads væk denne uge</t>
  </si>
  <si>
    <t>Spring Boot,  Turistguide 1</t>
  </si>
  <si>
    <t>Check-in/vejledning på Turistguide 1</t>
  </si>
  <si>
    <t>Online</t>
  </si>
  <si>
    <t>ITF:</t>
  </si>
  <si>
    <t>m</t>
  </si>
  <si>
    <t>Spring Boot arkitektur + opgaver/konsolidering af Spring Boot</t>
  </si>
  <si>
    <t>HTML/CSS</t>
  </si>
  <si>
    <t>HTML &amp; CSS</t>
  </si>
  <si>
    <t>Java Collections, Map</t>
  </si>
  <si>
    <t>repetition af unittest</t>
  </si>
  <si>
    <t>Aflevering af Turistguide 1 kl 17.00</t>
  </si>
  <si>
    <t>Feedback Turistguide 1</t>
  </si>
  <si>
    <t>Turistguide 2</t>
  </si>
  <si>
    <t>Spring Boot arkitektur, Thymeleaf</t>
  </si>
  <si>
    <t>Introduktion til ThymeLeaf</t>
  </si>
  <si>
    <t>Model</t>
  </si>
  <si>
    <t>ThymeLeaf, HTML forms &amp; Thymeleaf, Turistguide 2</t>
  </si>
  <si>
    <t>ModelAttribute</t>
  </si>
  <si>
    <t>Check-in/vejledning på Turistguide 2</t>
  </si>
  <si>
    <t>MockMVC og test af Controller</t>
  </si>
  <si>
    <t>Git og kodekvalitet</t>
  </si>
  <si>
    <t>Operativsystemer, command shell &amp; Git Bash</t>
  </si>
  <si>
    <t>Kode review med pull requests</t>
  </si>
  <si>
    <t>Statisk kodeanalyse med tools</t>
  </si>
  <si>
    <t>DevOps, CI/CD</t>
  </si>
  <si>
    <t>GitHub Actions 1</t>
  </si>
  <si>
    <t>GitHub Actions 2</t>
  </si>
  <si>
    <t>Online      Aflevering Turistguide 2</t>
  </si>
  <si>
    <t>Feedback og review af Turistguide 2</t>
  </si>
  <si>
    <t>Turistguide 3</t>
  </si>
  <si>
    <t>Databaser, SQL, E/R modellering</t>
  </si>
  <si>
    <t>E/R model og relationel model</t>
  </si>
  <si>
    <t>TO DO!! Hele ugen skal redesignes</t>
  </si>
  <si>
    <t>Introduktion til SQL og DDL</t>
  </si>
  <si>
    <t>SQL 2</t>
  </si>
  <si>
    <t>Online (SQL opgaver)</t>
  </si>
  <si>
    <t>Normalisering, SQL joins</t>
  </si>
  <si>
    <t>Jdbc, databaseintegration i Spring Boot, database deployment</t>
  </si>
  <si>
    <t>JDBCtemplate og Spring 1, Turistguide del 3</t>
  </si>
  <si>
    <t>JDBCtemplate og Spring 2, functional interfaces</t>
  </si>
  <si>
    <t>inkl. functional interfaces</t>
  </si>
  <si>
    <t>Azure deployment</t>
  </si>
  <si>
    <t>Samlæst for de to hold</t>
  </si>
  <si>
    <t>Database deployment</t>
  </si>
  <si>
    <t>Testbar kode med lav kobling</t>
  </si>
  <si>
    <t>Integrationstest med H2 database</t>
  </si>
  <si>
    <t>Vejledning turistguide 3</t>
  </si>
  <si>
    <t>Check-in/vejledning på Turistguide 3</t>
  </si>
  <si>
    <t>H2 skal være på plads</t>
  </si>
  <si>
    <t>Testbar kode med lav kobling, sessions</t>
  </si>
  <si>
    <t>Fejlhåndtering i Spring Boot</t>
  </si>
  <si>
    <t xml:space="preserve">Sessions </t>
  </si>
  <si>
    <t>Evaluering</t>
  </si>
  <si>
    <t>UNDERVISNINGFRI (Digital udviklingsdag)</t>
  </si>
  <si>
    <t>Aflevering af Turistguide 3</t>
  </si>
  <si>
    <t>Databasetransaktioner</t>
  </si>
  <si>
    <t>Turistguide del 3 - feedback</t>
  </si>
  <si>
    <t>PÅSKEFERIE</t>
  </si>
  <si>
    <t>Undervisningsfri</t>
  </si>
  <si>
    <t>Miniprojekt</t>
  </si>
  <si>
    <t>UX/UI, GitHub Projects</t>
  </si>
  <si>
    <t>Undervisningsfri (2. påskedag)</t>
  </si>
  <si>
    <t>User interface design</t>
  </si>
  <si>
    <t>Kickoff - Wishlist-projekt &amp; GitHub Projects + evaluering</t>
  </si>
  <si>
    <t>Samlæst</t>
  </si>
  <si>
    <t>ITF: Wishlist PO - møde</t>
  </si>
  <si>
    <t>Wishlist - projektvejledning</t>
  </si>
  <si>
    <t>Projektarbejde</t>
  </si>
  <si>
    <t>HTML &amp; CSS udvidet</t>
  </si>
  <si>
    <t>?</t>
  </si>
  <si>
    <t>Check-in/vejledning på Wishlist</t>
  </si>
  <si>
    <t>ITF: projektvejledning</t>
  </si>
  <si>
    <t>Readme og contribute</t>
  </si>
  <si>
    <t>Usability test</t>
  </si>
  <si>
    <t>Online  Aflevering af miniprojekt</t>
  </si>
  <si>
    <t>ITF: Fremlæggelse</t>
  </si>
  <si>
    <t>Afslutning Wishlist-projekt: eksamenstræning &amp; retrospective</t>
  </si>
  <si>
    <t>Igangsæt gruppedannelse til eksamensprojkekt</t>
  </si>
  <si>
    <t>Eksamensprojekt</t>
  </si>
  <si>
    <t>Projektstart</t>
  </si>
  <si>
    <t>Wishlist projekt feedback fortsat (eksamenstræning)</t>
  </si>
  <si>
    <t>Mandag eftermiddag: deadline for gruppedannelse eksamensprojekt</t>
  </si>
  <si>
    <t>Repetition</t>
  </si>
  <si>
    <t>Præsentation af eksamensprojekt (Sprint 0)</t>
  </si>
  <si>
    <t>Samlæst, med præsentation fra AlphaSolutions</t>
  </si>
  <si>
    <t>ITF: PO-møde</t>
  </si>
  <si>
    <t xml:space="preserve">Eksamensprojekt - sprint 1 </t>
  </si>
  <si>
    <t>Rapport, præsentation, eksamination</t>
  </si>
  <si>
    <t>ITF:  projektvejledning</t>
  </si>
  <si>
    <t>Eksamensprojekt - statusmøde</t>
  </si>
  <si>
    <t>Eksamensprojekt - sprint 1</t>
  </si>
  <si>
    <t>Undervisningsfri (Kr. Himmelfart)</t>
  </si>
  <si>
    <t>Eksamensprojekt - sprint 2</t>
  </si>
  <si>
    <t>Eksamensprojekt - aflevering</t>
  </si>
  <si>
    <t>Aflevering af eksamensprojekt</t>
  </si>
  <si>
    <t>Total</t>
  </si>
  <si>
    <t>parameters</t>
  </si>
  <si>
    <t>Hold F25A</t>
  </si>
  <si>
    <t>Hold F25B</t>
  </si>
  <si>
    <t>determination weeknumber</t>
  </si>
  <si>
    <t>jan 1st</t>
  </si>
  <si>
    <t>day</t>
  </si>
  <si>
    <t>conversion</t>
  </si>
  <si>
    <t>Sunday</t>
  </si>
  <si>
    <t>startdate</t>
  </si>
  <si>
    <t>Monday</t>
  </si>
  <si>
    <t>Tuesday</t>
  </si>
  <si>
    <t>Wednesday</t>
  </si>
  <si>
    <t>Thursday</t>
  </si>
  <si>
    <t>Friday</t>
  </si>
  <si>
    <t>program</t>
  </si>
  <si>
    <t>e</t>
  </si>
  <si>
    <t>Saturday</t>
  </si>
  <si>
    <t>Tourist Guide 1</t>
  </si>
  <si>
    <t>Spring Boot intro, HTML/CSS</t>
  </si>
  <si>
    <t>Spring Boot arkitektur, Thymeleaf, bash</t>
  </si>
  <si>
    <t>Tourist Guide 2</t>
  </si>
  <si>
    <t>Kodekvalitet</t>
  </si>
  <si>
    <t>Devops, CI/CD</t>
  </si>
  <si>
    <t>Tourist Guide 3</t>
  </si>
  <si>
    <t>Testbar kode med lav kobling, interfaces, sessions</t>
  </si>
  <si>
    <t>Transaktioner, error handling</t>
  </si>
  <si>
    <t>EFTERÅRSFERIE</t>
  </si>
  <si>
    <t>Review, markdown, readme og contribute</t>
  </si>
  <si>
    <t>x</t>
  </si>
  <si>
    <t>Sessions</t>
  </si>
  <si>
    <t>samlæst fysisk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</si>
</sst>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dd/mm"/>
  </numFmts>
  <fonts count="16">
    <font>
      <sz val="10"/>
      <color rgb="FF000000"/>
      <name val="Arial"/>
    </font>
    <font>
      <sz val="12"/>
      <color indexed="8"/>
      <name val="Calibri"/>
      <family val="2"/>
    </font>
    <font>
      <b/>
      <sz val="11"/>
      <color indexed="8"/>
      <name val="Arial"/>
      <family val="2"/>
    </font>
    <font>
      <b/>
      <sz val="11"/>
      <color indexed="8"/>
      <name val="Calibri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sz val="10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b/>
      <sz val="14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2"/>
      <color rgb="FFFF0000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8"/>
      </patternFill>
    </fill>
    <fill>
      <patternFill patternType="solid">
        <fgColor indexed="27"/>
        <bgColor indexed="8"/>
      </patternFill>
    </fill>
    <fill>
      <patternFill patternType="solid">
        <fgColor indexed="5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6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4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50"/>
        <bgColor indexed="8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</fills>
  <borders count="43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14" fontId="0" fillId="2" borderId="0" xfId="0" applyNumberFormat="1" applyFill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4" borderId="2" xfId="0" applyFont="1" applyFill="1" applyBorder="1" applyAlignment="1">
      <alignment vertical="top"/>
    </xf>
    <xf numFmtId="0" fontId="3" fillId="4" borderId="4" xfId="0" applyFont="1" applyFill="1" applyBorder="1" applyAlignment="1">
      <alignment vertical="top"/>
    </xf>
    <xf numFmtId="0" fontId="3" fillId="4" borderId="5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8" xfId="0" applyFill="1" applyBorder="1"/>
    <xf numFmtId="0" fontId="0" fillId="5" borderId="7" xfId="0" applyFill="1" applyBorder="1"/>
    <xf numFmtId="0" fontId="4" fillId="5" borderId="9" xfId="0" applyFont="1" applyFill="1" applyBorder="1"/>
    <xf numFmtId="0" fontId="4" fillId="5" borderId="10" xfId="0" applyFont="1" applyFill="1" applyBorder="1"/>
    <xf numFmtId="0" fontId="4" fillId="5" borderId="11" xfId="0" applyFont="1" applyFill="1" applyBorder="1"/>
    <xf numFmtId="0" fontId="4" fillId="6" borderId="9" xfId="0" applyFont="1" applyFill="1" applyBorder="1"/>
    <xf numFmtId="0" fontId="4" fillId="6" borderId="10" xfId="0" applyFont="1" applyFill="1" applyBorder="1"/>
    <xf numFmtId="0" fontId="4" fillId="6" borderId="11" xfId="0" applyFont="1" applyFill="1" applyBorder="1"/>
    <xf numFmtId="164" fontId="5" fillId="5" borderId="12" xfId="0" applyNumberFormat="1" applyFont="1" applyFill="1" applyBorder="1" applyAlignment="1">
      <alignment horizontal="left"/>
    </xf>
    <xf numFmtId="164" fontId="5" fillId="5" borderId="13" xfId="0" applyNumberFormat="1" applyFont="1" applyFill="1" applyBorder="1" applyAlignment="1">
      <alignment horizontal="left"/>
    </xf>
    <xf numFmtId="164" fontId="5" fillId="5" borderId="14" xfId="0" applyNumberFormat="1" applyFont="1" applyFill="1" applyBorder="1" applyAlignment="1">
      <alignment horizontal="left"/>
    </xf>
    <xf numFmtId="164" fontId="5" fillId="6" borderId="12" xfId="0" applyNumberFormat="1" applyFont="1" applyFill="1" applyBorder="1" applyAlignment="1">
      <alignment horizontal="left"/>
    </xf>
    <xf numFmtId="164" fontId="5" fillId="6" borderId="13" xfId="0" applyNumberFormat="1" applyFont="1" applyFill="1" applyBorder="1" applyAlignment="1">
      <alignment horizontal="left"/>
    </xf>
    <xf numFmtId="164" fontId="5" fillId="6" borderId="14" xfId="0" applyNumberFormat="1" applyFont="1" applyFill="1" applyBorder="1" applyAlignment="1">
      <alignment horizontal="left"/>
    </xf>
    <xf numFmtId="0" fontId="5" fillId="5" borderId="15" xfId="0" applyFont="1" applyFill="1" applyBorder="1"/>
    <xf numFmtId="0" fontId="5" fillId="5" borderId="9" xfId="0" applyFont="1" applyFill="1" applyBorder="1"/>
    <xf numFmtId="0" fontId="5" fillId="5" borderId="12" xfId="0" applyFont="1" applyFill="1" applyBorder="1"/>
    <xf numFmtId="0" fontId="5" fillId="5" borderId="16" xfId="0" applyFont="1" applyFill="1" applyBorder="1"/>
    <xf numFmtId="0" fontId="5" fillId="5" borderId="17" xfId="0" applyFont="1" applyFill="1" applyBorder="1"/>
    <xf numFmtId="0" fontId="5" fillId="5" borderId="8" xfId="0" applyFont="1" applyFill="1" applyBorder="1"/>
    <xf numFmtId="0" fontId="5" fillId="5" borderId="18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19" xfId="0" applyFont="1" applyFill="1" applyBorder="1"/>
    <xf numFmtId="0" fontId="5" fillId="5" borderId="20" xfId="0" applyFont="1" applyFill="1" applyBorder="1"/>
    <xf numFmtId="0" fontId="5" fillId="5" borderId="21" xfId="0" applyFont="1" applyFill="1" applyBorder="1"/>
    <xf numFmtId="0" fontId="5" fillId="5" borderId="22" xfId="0" applyFont="1" applyFill="1" applyBorder="1"/>
    <xf numFmtId="0" fontId="5" fillId="5" borderId="11" xfId="0" applyFont="1" applyFill="1" applyBorder="1"/>
    <xf numFmtId="0" fontId="5" fillId="5" borderId="14" xfId="0" applyFont="1" applyFill="1" applyBorder="1"/>
    <xf numFmtId="0" fontId="5" fillId="5" borderId="23" xfId="0" applyFont="1" applyFill="1" applyBorder="1"/>
    <xf numFmtId="0" fontId="5" fillId="5" borderId="24" xfId="0" applyFont="1" applyFill="1" applyBorder="1"/>
    <xf numFmtId="0" fontId="5" fillId="5" borderId="25" xfId="0" applyFont="1" applyFill="1" applyBorder="1"/>
    <xf numFmtId="0" fontId="5" fillId="6" borderId="15" xfId="0" applyFont="1" applyFill="1" applyBorder="1"/>
    <xf numFmtId="0" fontId="5" fillId="6" borderId="9" xfId="0" applyFont="1" applyFill="1" applyBorder="1"/>
    <xf numFmtId="0" fontId="5" fillId="6" borderId="12" xfId="0" applyFont="1" applyFill="1" applyBorder="1"/>
    <xf numFmtId="0" fontId="5" fillId="6" borderId="16" xfId="0" applyFont="1" applyFill="1" applyBorder="1"/>
    <xf numFmtId="0" fontId="5" fillId="6" borderId="17" xfId="0" applyFont="1" applyFill="1" applyBorder="1"/>
    <xf numFmtId="0" fontId="5" fillId="6" borderId="8" xfId="0" applyFont="1" applyFill="1" applyBorder="1"/>
    <xf numFmtId="0" fontId="5" fillId="6" borderId="18" xfId="0" applyFont="1" applyFill="1" applyBorder="1"/>
    <xf numFmtId="0" fontId="5" fillId="6" borderId="10" xfId="0" applyFont="1" applyFill="1" applyBorder="1"/>
    <xf numFmtId="0" fontId="5" fillId="6" borderId="13" xfId="0" applyFont="1" applyFill="1" applyBorder="1"/>
    <xf numFmtId="0" fontId="5" fillId="6" borderId="19" xfId="0" applyFont="1" applyFill="1" applyBorder="1"/>
    <xf numFmtId="0" fontId="5" fillId="6" borderId="20" xfId="0" applyFont="1" applyFill="1" applyBorder="1"/>
    <xf numFmtId="0" fontId="5" fillId="6" borderId="21" xfId="0" applyFont="1" applyFill="1" applyBorder="1"/>
    <xf numFmtId="0" fontId="5" fillId="6" borderId="22" xfId="0" applyFont="1" applyFill="1" applyBorder="1"/>
    <xf numFmtId="0" fontId="5" fillId="6" borderId="11" xfId="0" applyFont="1" applyFill="1" applyBorder="1"/>
    <xf numFmtId="0" fontId="5" fillId="6" borderId="14" xfId="0" applyFont="1" applyFill="1" applyBorder="1"/>
    <xf numFmtId="0" fontId="5" fillId="6" borderId="23" xfId="0" applyFont="1" applyFill="1" applyBorder="1"/>
    <xf numFmtId="0" fontId="5" fillId="6" borderId="24" xfId="0" applyFont="1" applyFill="1" applyBorder="1"/>
    <xf numFmtId="0" fontId="5" fillId="6" borderId="25" xfId="0" applyFont="1" applyFill="1" applyBorder="1"/>
    <xf numFmtId="0" fontId="4" fillId="7" borderId="1" xfId="0" applyFont="1" applyFill="1" applyBorder="1"/>
    <xf numFmtId="0" fontId="0" fillId="7" borderId="26" xfId="0" applyFill="1" applyBorder="1"/>
    <xf numFmtId="0" fontId="4" fillId="7" borderId="9" xfId="0" applyFont="1" applyFill="1" applyBorder="1"/>
    <xf numFmtId="164" fontId="5" fillId="7" borderId="12" xfId="0" applyNumberFormat="1" applyFont="1" applyFill="1" applyBorder="1" applyAlignment="1">
      <alignment horizontal="left"/>
    </xf>
    <xf numFmtId="0" fontId="5" fillId="7" borderId="15" xfId="0" applyFont="1" applyFill="1" applyBorder="1"/>
    <xf numFmtId="0" fontId="5" fillId="7" borderId="9" xfId="0" applyFont="1" applyFill="1" applyBorder="1"/>
    <xf numFmtId="0" fontId="5" fillId="7" borderId="12" xfId="0" applyFont="1" applyFill="1" applyBorder="1"/>
    <xf numFmtId="0" fontId="5" fillId="7" borderId="16" xfId="0" applyFont="1" applyFill="1" applyBorder="1"/>
    <xf numFmtId="0" fontId="5" fillId="7" borderId="17" xfId="0" applyFont="1" applyFill="1" applyBorder="1"/>
    <xf numFmtId="0" fontId="4" fillId="7" borderId="10" xfId="0" applyFont="1" applyFill="1" applyBorder="1"/>
    <xf numFmtId="164" fontId="5" fillId="7" borderId="13" xfId="0" applyNumberFormat="1" applyFont="1" applyFill="1" applyBorder="1" applyAlignment="1">
      <alignment horizontal="left"/>
    </xf>
    <xf numFmtId="0" fontId="5" fillId="7" borderId="18" xfId="0" applyFont="1" applyFill="1" applyBorder="1"/>
    <xf numFmtId="0" fontId="5" fillId="7" borderId="10" xfId="0" applyFont="1" applyFill="1" applyBorder="1"/>
    <xf numFmtId="0" fontId="5" fillId="7" borderId="13" xfId="0" applyFont="1" applyFill="1" applyBorder="1"/>
    <xf numFmtId="0" fontId="5" fillId="7" borderId="19" xfId="0" applyFont="1" applyFill="1" applyBorder="1"/>
    <xf numFmtId="0" fontId="5" fillId="7" borderId="20" xfId="0" applyFont="1" applyFill="1" applyBorder="1"/>
    <xf numFmtId="0" fontId="4" fillId="7" borderId="11" xfId="0" applyFont="1" applyFill="1" applyBorder="1"/>
    <xf numFmtId="164" fontId="5" fillId="7" borderId="14" xfId="0" applyNumberFormat="1" applyFont="1" applyFill="1" applyBorder="1" applyAlignment="1">
      <alignment horizontal="left"/>
    </xf>
    <xf numFmtId="0" fontId="5" fillId="7" borderId="22" xfId="0" applyFont="1" applyFill="1" applyBorder="1"/>
    <xf numFmtId="0" fontId="5" fillId="7" borderId="11" xfId="0" applyFont="1" applyFill="1" applyBorder="1"/>
    <xf numFmtId="0" fontId="5" fillId="7" borderId="14" xfId="0" applyFont="1" applyFill="1" applyBorder="1"/>
    <xf numFmtId="0" fontId="5" fillId="7" borderId="23" xfId="0" applyFont="1" applyFill="1" applyBorder="1"/>
    <xf numFmtId="0" fontId="5" fillId="7" borderId="24" xfId="0" applyFont="1" applyFill="1" applyBorder="1"/>
    <xf numFmtId="0" fontId="0" fillId="7" borderId="7" xfId="0" applyFill="1" applyBorder="1"/>
    <xf numFmtId="0" fontId="5" fillId="7" borderId="8" xfId="0" applyFont="1" applyFill="1" applyBorder="1"/>
    <xf numFmtId="0" fontId="5" fillId="7" borderId="21" xfId="0" applyFont="1" applyFill="1" applyBorder="1"/>
    <xf numFmtId="0" fontId="5" fillId="7" borderId="25" xfId="0" applyFont="1" applyFill="1" applyBorder="1"/>
    <xf numFmtId="0" fontId="4" fillId="6" borderId="1" xfId="0" applyFont="1" applyFill="1" applyBorder="1"/>
    <xf numFmtId="0" fontId="0" fillId="6" borderId="26" xfId="0" applyFill="1" applyBorder="1"/>
    <xf numFmtId="0" fontId="0" fillId="6" borderId="7" xfId="0" applyFill="1" applyBorder="1"/>
    <xf numFmtId="0" fontId="4" fillId="8" borderId="1" xfId="0" applyFont="1" applyFill="1" applyBorder="1"/>
    <xf numFmtId="0" fontId="0" fillId="8" borderId="26" xfId="0" applyFill="1" applyBorder="1"/>
    <xf numFmtId="0" fontId="4" fillId="8" borderId="9" xfId="0" applyFont="1" applyFill="1" applyBorder="1"/>
    <xf numFmtId="164" fontId="5" fillId="8" borderId="12" xfId="0" applyNumberFormat="1" applyFont="1" applyFill="1" applyBorder="1" applyAlignment="1">
      <alignment horizontal="left"/>
    </xf>
    <xf numFmtId="0" fontId="5" fillId="8" borderId="15" xfId="0" applyFont="1" applyFill="1" applyBorder="1"/>
    <xf numFmtId="0" fontId="5" fillId="8" borderId="9" xfId="0" applyFont="1" applyFill="1" applyBorder="1"/>
    <xf numFmtId="0" fontId="5" fillId="8" borderId="12" xfId="0" applyFont="1" applyFill="1" applyBorder="1"/>
    <xf numFmtId="0" fontId="5" fillId="8" borderId="16" xfId="0" applyFont="1" applyFill="1" applyBorder="1"/>
    <xf numFmtId="0" fontId="5" fillId="8" borderId="17" xfId="0" applyFont="1" applyFill="1" applyBorder="1"/>
    <xf numFmtId="0" fontId="5" fillId="8" borderId="8" xfId="0" applyFont="1" applyFill="1" applyBorder="1"/>
    <xf numFmtId="0" fontId="4" fillId="8" borderId="10" xfId="0" applyFont="1" applyFill="1" applyBorder="1"/>
    <xf numFmtId="164" fontId="5" fillId="8" borderId="13" xfId="0" applyNumberFormat="1" applyFont="1" applyFill="1" applyBorder="1" applyAlignment="1">
      <alignment horizontal="left"/>
    </xf>
    <xf numFmtId="0" fontId="5" fillId="8" borderId="18" xfId="0" applyFont="1" applyFill="1" applyBorder="1"/>
    <xf numFmtId="0" fontId="5" fillId="8" borderId="10" xfId="0" applyFont="1" applyFill="1" applyBorder="1"/>
    <xf numFmtId="0" fontId="5" fillId="8" borderId="13" xfId="0" applyFont="1" applyFill="1" applyBorder="1"/>
    <xf numFmtId="0" fontId="5" fillId="8" borderId="19" xfId="0" applyFont="1" applyFill="1" applyBorder="1"/>
    <xf numFmtId="0" fontId="5" fillId="8" borderId="20" xfId="0" applyFont="1" applyFill="1" applyBorder="1"/>
    <xf numFmtId="0" fontId="5" fillId="8" borderId="21" xfId="0" applyFont="1" applyFill="1" applyBorder="1"/>
    <xf numFmtId="0" fontId="4" fillId="8" borderId="11" xfId="0" applyFont="1" applyFill="1" applyBorder="1"/>
    <xf numFmtId="164" fontId="5" fillId="8" borderId="14" xfId="0" applyNumberFormat="1" applyFont="1" applyFill="1" applyBorder="1" applyAlignment="1">
      <alignment horizontal="left"/>
    </xf>
    <xf numFmtId="0" fontId="5" fillId="8" borderId="22" xfId="0" applyFont="1" applyFill="1" applyBorder="1"/>
    <xf numFmtId="0" fontId="5" fillId="8" borderId="11" xfId="0" applyFont="1" applyFill="1" applyBorder="1"/>
    <xf numFmtId="0" fontId="5" fillId="8" borderId="14" xfId="0" applyFont="1" applyFill="1" applyBorder="1"/>
    <xf numFmtId="0" fontId="5" fillId="8" borderId="23" xfId="0" applyFont="1" applyFill="1" applyBorder="1"/>
    <xf numFmtId="0" fontId="5" fillId="8" borderId="24" xfId="0" applyFont="1" applyFill="1" applyBorder="1"/>
    <xf numFmtId="0" fontId="5" fillId="8" borderId="25" xfId="0" applyFont="1" applyFill="1" applyBorder="1"/>
    <xf numFmtId="0" fontId="0" fillId="8" borderId="8" xfId="0" applyFill="1" applyBorder="1"/>
    <xf numFmtId="0" fontId="0" fillId="8" borderId="21" xfId="0" applyFill="1" applyBorder="1"/>
    <xf numFmtId="0" fontId="0" fillId="8" borderId="25" xfId="0" applyFill="1" applyBorder="1"/>
    <xf numFmtId="0" fontId="4" fillId="3" borderId="1" xfId="0" applyFont="1" applyFill="1" applyBorder="1"/>
    <xf numFmtId="0" fontId="0" fillId="3" borderId="26" xfId="0" applyFill="1" applyBorder="1"/>
    <xf numFmtId="0" fontId="4" fillId="3" borderId="27" xfId="0" applyFont="1" applyFill="1" applyBorder="1"/>
    <xf numFmtId="164" fontId="5" fillId="3" borderId="28" xfId="0" applyNumberFormat="1" applyFont="1" applyFill="1" applyBorder="1" applyAlignment="1">
      <alignment horizontal="left"/>
    </xf>
    <xf numFmtId="0" fontId="5" fillId="3" borderId="29" xfId="0" applyFont="1" applyFill="1" applyBorder="1"/>
    <xf numFmtId="0" fontId="5" fillId="3" borderId="27" xfId="0" applyFont="1" applyFill="1" applyBorder="1"/>
    <xf numFmtId="0" fontId="5" fillId="3" borderId="28" xfId="0" applyFont="1" applyFill="1" applyBorder="1"/>
    <xf numFmtId="0" fontId="5" fillId="3" borderId="30" xfId="0" applyFont="1" applyFill="1" applyBorder="1"/>
    <xf numFmtId="0" fontId="5" fillId="3" borderId="31" xfId="0" applyFont="1" applyFill="1" applyBorder="1"/>
    <xf numFmtId="0" fontId="5" fillId="3" borderId="32" xfId="0" applyFont="1" applyFill="1" applyBorder="1"/>
    <xf numFmtId="0" fontId="4" fillId="3" borderId="10" xfId="0" applyFont="1" applyFill="1" applyBorder="1"/>
    <xf numFmtId="164" fontId="5" fillId="3" borderId="13" xfId="0" applyNumberFormat="1" applyFont="1" applyFill="1" applyBorder="1" applyAlignment="1">
      <alignment horizontal="left"/>
    </xf>
    <xf numFmtId="0" fontId="5" fillId="3" borderId="18" xfId="0" applyFont="1" applyFill="1" applyBorder="1"/>
    <xf numFmtId="0" fontId="5" fillId="3" borderId="10" xfId="0" applyFont="1" applyFill="1" applyBorder="1"/>
    <xf numFmtId="0" fontId="5" fillId="3" borderId="13" xfId="0" applyFont="1" applyFill="1" applyBorder="1"/>
    <xf numFmtId="0" fontId="5" fillId="3" borderId="19" xfId="0" applyFont="1" applyFill="1" applyBorder="1"/>
    <xf numFmtId="0" fontId="5" fillId="3" borderId="20" xfId="0" applyFont="1" applyFill="1" applyBorder="1"/>
    <xf numFmtId="0" fontId="5" fillId="3" borderId="21" xfId="0" applyFont="1" applyFill="1" applyBorder="1"/>
    <xf numFmtId="0" fontId="4" fillId="3" borderId="11" xfId="0" applyFont="1" applyFill="1" applyBorder="1"/>
    <xf numFmtId="164" fontId="5" fillId="3" borderId="14" xfId="0" applyNumberFormat="1" applyFont="1" applyFill="1" applyBorder="1" applyAlignment="1">
      <alignment horizontal="left"/>
    </xf>
    <xf numFmtId="0" fontId="5" fillId="3" borderId="22" xfId="0" applyFont="1" applyFill="1" applyBorder="1"/>
    <xf numFmtId="0" fontId="5" fillId="3" borderId="11" xfId="0" applyFont="1" applyFill="1" applyBorder="1"/>
    <xf numFmtId="0" fontId="5" fillId="3" borderId="14" xfId="0" applyFont="1" applyFill="1" applyBorder="1"/>
    <xf numFmtId="0" fontId="5" fillId="3" borderId="23" xfId="0" applyFont="1" applyFill="1" applyBorder="1"/>
    <xf numFmtId="0" fontId="5" fillId="3" borderId="24" xfId="0" applyFont="1" applyFill="1" applyBorder="1"/>
    <xf numFmtId="0" fontId="5" fillId="3" borderId="25" xfId="0" applyFont="1" applyFill="1" applyBorder="1"/>
    <xf numFmtId="0" fontId="6" fillId="6" borderId="13" xfId="0" applyFont="1" applyFill="1" applyBorder="1"/>
    <xf numFmtId="0" fontId="7" fillId="0" borderId="0" xfId="0" applyFont="1"/>
    <xf numFmtId="0" fontId="5" fillId="8" borderId="18" xfId="0" applyFont="1" applyFill="1" applyBorder="1" applyAlignment="1">
      <alignment wrapText="1"/>
    </xf>
    <xf numFmtId="0" fontId="5" fillId="5" borderId="13" xfId="0" applyFont="1" applyFill="1" applyBorder="1" applyAlignment="1">
      <alignment wrapText="1"/>
    </xf>
    <xf numFmtId="0" fontId="5" fillId="8" borderId="22" xfId="0" applyFont="1" applyFill="1" applyBorder="1" applyAlignment="1">
      <alignment wrapText="1"/>
    </xf>
    <xf numFmtId="0" fontId="12" fillId="0" borderId="0" xfId="0" applyFont="1"/>
    <xf numFmtId="0" fontId="13" fillId="0" borderId="0" xfId="0" applyFont="1"/>
    <xf numFmtId="0" fontId="5" fillId="5" borderId="29" xfId="0" applyFont="1" applyFill="1" applyBorder="1"/>
    <xf numFmtId="0" fontId="5" fillId="5" borderId="33" xfId="0" applyFont="1" applyFill="1" applyBorder="1"/>
    <xf numFmtId="0" fontId="4" fillId="9" borderId="9" xfId="0" applyFont="1" applyFill="1" applyBorder="1"/>
    <xf numFmtId="164" fontId="5" fillId="9" borderId="12" xfId="0" applyNumberFormat="1" applyFont="1" applyFill="1" applyBorder="1" applyAlignment="1">
      <alignment horizontal="left"/>
    </xf>
    <xf numFmtId="0" fontId="5" fillId="9" borderId="0" xfId="0" applyFont="1" applyFill="1"/>
    <xf numFmtId="0" fontId="5" fillId="9" borderId="9" xfId="0" applyFont="1" applyFill="1" applyBorder="1"/>
    <xf numFmtId="0" fontId="5" fillId="9" borderId="12" xfId="0" applyFont="1" applyFill="1" applyBorder="1"/>
    <xf numFmtId="0" fontId="5" fillId="9" borderId="16" xfId="0" applyFont="1" applyFill="1" applyBorder="1"/>
    <xf numFmtId="0" fontId="5" fillId="9" borderId="17" xfId="0" applyFont="1" applyFill="1" applyBorder="1"/>
    <xf numFmtId="0" fontId="5" fillId="9" borderId="15" xfId="0" applyFont="1" applyFill="1" applyBorder="1"/>
    <xf numFmtId="0" fontId="5" fillId="9" borderId="8" xfId="0" applyFont="1" applyFill="1" applyBorder="1"/>
    <xf numFmtId="0" fontId="4" fillId="9" borderId="10" xfId="0" applyFont="1" applyFill="1" applyBorder="1"/>
    <xf numFmtId="164" fontId="5" fillId="9" borderId="13" xfId="0" applyNumberFormat="1" applyFont="1" applyFill="1" applyBorder="1" applyAlignment="1">
      <alignment horizontal="left"/>
    </xf>
    <xf numFmtId="0" fontId="5" fillId="9" borderId="10" xfId="0" applyFont="1" applyFill="1" applyBorder="1"/>
    <xf numFmtId="0" fontId="5" fillId="9" borderId="13" xfId="0" applyFont="1" applyFill="1" applyBorder="1"/>
    <xf numFmtId="0" fontId="5" fillId="9" borderId="19" xfId="0" applyFont="1" applyFill="1" applyBorder="1"/>
    <xf numFmtId="0" fontId="5" fillId="9" borderId="20" xfId="0" applyFont="1" applyFill="1" applyBorder="1"/>
    <xf numFmtId="0" fontId="5" fillId="9" borderId="18" xfId="0" applyFont="1" applyFill="1" applyBorder="1"/>
    <xf numFmtId="0" fontId="5" fillId="9" borderId="21" xfId="0" applyFont="1" applyFill="1" applyBorder="1"/>
    <xf numFmtId="0" fontId="4" fillId="9" borderId="11" xfId="0" applyFont="1" applyFill="1" applyBorder="1"/>
    <xf numFmtId="164" fontId="5" fillId="9" borderId="14" xfId="0" applyNumberFormat="1" applyFont="1" applyFill="1" applyBorder="1" applyAlignment="1">
      <alignment horizontal="left"/>
    </xf>
    <xf numFmtId="0" fontId="5" fillId="9" borderId="11" xfId="0" applyFont="1" applyFill="1" applyBorder="1"/>
    <xf numFmtId="0" fontId="5" fillId="9" borderId="14" xfId="0" applyFont="1" applyFill="1" applyBorder="1"/>
    <xf numFmtId="0" fontId="5" fillId="9" borderId="23" xfId="0" applyFont="1" applyFill="1" applyBorder="1"/>
    <xf numFmtId="0" fontId="5" fillId="9" borderId="24" xfId="0" applyFont="1" applyFill="1" applyBorder="1"/>
    <xf numFmtId="0" fontId="5" fillId="9" borderId="22" xfId="0" applyFont="1" applyFill="1" applyBorder="1"/>
    <xf numFmtId="0" fontId="5" fillId="9" borderId="25" xfId="0" applyFont="1" applyFill="1" applyBorder="1"/>
    <xf numFmtId="0" fontId="4" fillId="10" borderId="1" xfId="0" applyFont="1" applyFill="1" applyBorder="1"/>
    <xf numFmtId="0" fontId="0" fillId="10" borderId="26" xfId="0" applyFill="1" applyBorder="1"/>
    <xf numFmtId="0" fontId="15" fillId="6" borderId="21" xfId="0" applyFont="1" applyFill="1" applyBorder="1"/>
    <xf numFmtId="0" fontId="15" fillId="6" borderId="15" xfId="0" applyFont="1" applyFill="1" applyBorder="1"/>
    <xf numFmtId="0" fontId="9" fillId="4" borderId="38" xfId="0" applyFont="1" applyFill="1" applyBorder="1" applyAlignment="1">
      <alignment horizontal="left" vertical="center" wrapText="1"/>
    </xf>
    <xf numFmtId="0" fontId="0" fillId="11" borderId="39" xfId="0" applyFill="1" applyBorder="1" applyAlignment="1">
      <alignment horizontal="left" vertical="center" wrapText="1"/>
    </xf>
    <xf numFmtId="0" fontId="9" fillId="4" borderId="40" xfId="0" applyFont="1" applyFill="1" applyBorder="1" applyAlignment="1">
      <alignment horizontal="left" vertical="center" wrapText="1"/>
    </xf>
    <xf numFmtId="0" fontId="0" fillId="11" borderId="41" xfId="0" applyFill="1" applyBorder="1" applyAlignment="1">
      <alignment horizontal="left" vertical="center" wrapText="1"/>
    </xf>
    <xf numFmtId="0" fontId="10" fillId="4" borderId="42" xfId="0" applyFont="1" applyFill="1" applyBorder="1" applyAlignment="1">
      <alignment horizontal="center" vertical="top"/>
    </xf>
    <xf numFmtId="0" fontId="11" fillId="11" borderId="36" xfId="0" applyFont="1" applyFill="1" applyBorder="1" applyAlignment="1">
      <alignment horizontal="center" vertical="top"/>
    </xf>
    <xf numFmtId="0" fontId="11" fillId="11" borderId="37" xfId="0" applyFont="1" applyFill="1" applyBorder="1" applyAlignment="1">
      <alignment horizontal="center" vertical="top"/>
    </xf>
    <xf numFmtId="164" fontId="4" fillId="8" borderId="4" xfId="0" applyNumberFormat="1" applyFont="1" applyFill="1" applyBorder="1" applyAlignment="1">
      <alignment horizontal="left"/>
    </xf>
    <xf numFmtId="0" fontId="8" fillId="0" borderId="4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164" fontId="4" fillId="6" borderId="4" xfId="0" applyNumberFormat="1" applyFont="1" applyFill="1" applyBorder="1" applyAlignment="1">
      <alignment horizontal="left"/>
    </xf>
    <xf numFmtId="0" fontId="8" fillId="0" borderId="37" xfId="0" applyFont="1" applyBorder="1" applyAlignment="1">
      <alignment horizontal="left" vertical="center" wrapText="1"/>
    </xf>
    <xf numFmtId="0" fontId="9" fillId="4" borderId="34" xfId="0" applyFont="1" applyFill="1" applyBorder="1" applyAlignment="1">
      <alignment horizontal="left" vertical="center" wrapText="1"/>
    </xf>
    <xf numFmtId="0" fontId="0" fillId="11" borderId="35" xfId="0" applyFill="1" applyBorder="1" applyAlignment="1">
      <alignment horizontal="left" vertical="center" wrapText="1"/>
    </xf>
    <xf numFmtId="0" fontId="10" fillId="4" borderId="36" xfId="0" applyFont="1" applyFill="1" applyBorder="1" applyAlignment="1">
      <alignment horizontal="center" vertical="top"/>
    </xf>
    <xf numFmtId="164" fontId="4" fillId="5" borderId="4" xfId="0" applyNumberFormat="1" applyFont="1" applyFill="1" applyBorder="1" applyAlignment="1">
      <alignment horizontal="left"/>
    </xf>
    <xf numFmtId="164" fontId="4" fillId="7" borderId="4" xfId="0" applyNumberFormat="1" applyFont="1" applyFill="1" applyBorder="1" applyAlignment="1">
      <alignment horizontal="left"/>
    </xf>
    <xf numFmtId="164" fontId="4" fillId="3" borderId="4" xfId="0" applyNumberFormat="1" applyFont="1" applyFill="1" applyBorder="1" applyAlignment="1">
      <alignment horizontal="left"/>
    </xf>
    <xf numFmtId="164" fontId="4" fillId="3" borderId="36" xfId="0" applyNumberFormat="1" applyFont="1" applyFill="1" applyBorder="1" applyAlignment="1">
      <alignment horizontal="left"/>
    </xf>
    <xf numFmtId="164" fontId="4" fillId="3" borderId="37" xfId="0" applyNumberFormat="1" applyFont="1" applyFill="1" applyBorder="1" applyAlignment="1">
      <alignment horizontal="left"/>
    </xf>
    <xf numFmtId="164" fontId="4" fillId="5" borderId="36" xfId="0" applyNumberFormat="1" applyFont="1" applyFill="1" applyBorder="1" applyAlignment="1">
      <alignment horizontal="left"/>
    </xf>
    <xf numFmtId="164" fontId="4" fillId="5" borderId="37" xfId="0" applyNumberFormat="1" applyFont="1" applyFill="1" applyBorder="1" applyAlignment="1">
      <alignment horizontal="left"/>
    </xf>
    <xf numFmtId="164" fontId="4" fillId="10" borderId="4" xfId="0" applyNumberFormat="1" applyFont="1" applyFill="1" applyBorder="1" applyAlignment="1">
      <alignment horizontal="left"/>
    </xf>
    <xf numFmtId="164" fontId="4" fillId="10" borderId="36" xfId="0" applyNumberFormat="1" applyFont="1" applyFill="1" applyBorder="1" applyAlignment="1">
      <alignment horizontal="left"/>
    </xf>
    <xf numFmtId="164" fontId="4" fillId="10" borderId="37" xfId="0" applyNumberFormat="1" applyFont="1" applyFill="1" applyBorder="1" applyAlignment="1">
      <alignment horizontal="left"/>
    </xf>
    <xf numFmtId="0" fontId="4" fillId="5" borderId="36" xfId="0" applyFont="1" applyFill="1" applyBorder="1" applyAlignment="1"/>
    <xf numFmtId="0" fontId="0" fillId="12" borderId="36" xfId="0" applyFill="1" applyBorder="1" applyAlignment="1"/>
    <xf numFmtId="0" fontId="0" fillId="12" borderId="37" xfId="0" applyFill="1" applyBorder="1" applyAlignment="1"/>
    <xf numFmtId="0" fontId="0" fillId="0" borderId="36" xfId="0" applyBorder="1" applyAlignment="1"/>
    <xf numFmtId="0" fontId="0" fillId="0" borderId="37" xfId="0" applyBorder="1" applyAlignment="1"/>
    <xf numFmtId="0" fontId="4" fillId="7" borderId="36" xfId="0" applyFont="1" applyFill="1" applyBorder="1" applyAlignment="1"/>
    <xf numFmtId="0" fontId="0" fillId="7" borderId="36" xfId="0" applyFill="1" applyBorder="1" applyAlignment="1"/>
    <xf numFmtId="0" fontId="0" fillId="7" borderId="37" xfId="0" applyFill="1" applyBorder="1" applyAlignment="1"/>
    <xf numFmtId="0" fontId="4" fillId="6" borderId="36" xfId="0" applyFont="1" applyFill="1" applyBorder="1" applyAlignment="1"/>
    <xf numFmtId="0" fontId="0" fillId="6" borderId="36" xfId="0" applyFill="1" applyBorder="1" applyAlignment="1"/>
    <xf numFmtId="0" fontId="0" fillId="6" borderId="37" xfId="0" applyFill="1" applyBorder="1" applyAlignment="1"/>
    <xf numFmtId="0" fontId="4" fillId="8" borderId="36" xfId="0" applyFont="1" applyFill="1" applyBorder="1" applyAlignment="1"/>
    <xf numFmtId="0" fontId="0" fillId="8" borderId="36" xfId="0" applyFill="1" applyBorder="1" applyAlignment="1"/>
    <xf numFmtId="0" fontId="0" fillId="8" borderId="37" xfId="0" applyFill="1" applyBorder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7"/>
  <sheetViews>
    <sheetView tabSelected="1" zoomScale="125" workbookViewId="0">
      <pane ySplit="2" topLeftCell="A45" activePane="bottomLeft" state="frozen"/>
      <selection pane="bottomLeft" activeCell="L70" sqref="L70"/>
      <selection activeCell="H12" sqref="H12"/>
    </sheetView>
  </sheetViews>
  <sheetFormatPr defaultColWidth="8.85546875" defaultRowHeight="12.75" customHeight="1"/>
  <cols>
    <col min="1" max="1" width="8.85546875" customWidth="1"/>
    <col min="2" max="2" width="18.85546875" customWidth="1"/>
    <col min="3" max="3" width="57.140625" customWidth="1"/>
    <col min="4" max="11" width="6.85546875" customWidth="1"/>
    <col min="12" max="12" width="52.85546875" customWidth="1"/>
  </cols>
  <sheetData>
    <row r="1" spans="1:15" ht="19.5" customHeight="1">
      <c r="A1" s="189" t="s">
        <v>0</v>
      </c>
      <c r="B1" s="189" t="s">
        <v>1</v>
      </c>
      <c r="C1" s="191" t="s">
        <v>2</v>
      </c>
      <c r="D1" s="193" t="s">
        <v>3</v>
      </c>
      <c r="E1" s="194"/>
      <c r="F1" s="194"/>
      <c r="G1" s="195"/>
      <c r="H1" s="203" t="s">
        <v>3</v>
      </c>
      <c r="I1" s="194"/>
      <c r="J1" s="194"/>
      <c r="K1" s="194"/>
      <c r="L1" s="201" t="s">
        <v>4</v>
      </c>
    </row>
    <row r="2" spans="1:15" ht="15.75" customHeight="1" thickBot="1">
      <c r="A2" s="190"/>
      <c r="B2" s="190"/>
      <c r="C2" s="192"/>
      <c r="D2" s="12" t="s">
        <v>5</v>
      </c>
      <c r="E2" s="9" t="s">
        <v>6</v>
      </c>
      <c r="F2" s="9" t="s">
        <v>7</v>
      </c>
      <c r="G2" s="13" t="s">
        <v>8</v>
      </c>
      <c r="H2" s="11" t="s">
        <v>5</v>
      </c>
      <c r="I2" s="9" t="s">
        <v>6</v>
      </c>
      <c r="J2" s="9" t="s">
        <v>7</v>
      </c>
      <c r="K2" s="10" t="s">
        <v>8</v>
      </c>
      <c r="L2" s="202"/>
    </row>
    <row r="3" spans="1:15" ht="21" customHeight="1" thickBot="1">
      <c r="A3" s="14"/>
      <c r="B3" s="197" t="s">
        <v>9</v>
      </c>
      <c r="C3" s="198"/>
      <c r="D3" s="198"/>
      <c r="E3" s="198"/>
      <c r="F3" s="198"/>
      <c r="G3" s="198"/>
      <c r="H3" s="198"/>
      <c r="I3" s="198"/>
      <c r="J3" s="198"/>
      <c r="K3" s="200"/>
      <c r="L3" s="15"/>
    </row>
    <row r="4" spans="1:15" ht="16.5" customHeight="1" thickBot="1">
      <c r="A4" s="125"/>
      <c r="B4" s="206" t="s">
        <v>10</v>
      </c>
      <c r="C4" s="207"/>
      <c r="D4" s="207"/>
      <c r="E4" s="207"/>
      <c r="F4" s="207"/>
      <c r="G4" s="207"/>
      <c r="H4" s="207"/>
      <c r="I4" s="207"/>
      <c r="J4" s="207"/>
      <c r="K4" s="208"/>
      <c r="L4" s="126"/>
    </row>
    <row r="5" spans="1:15" ht="15.75" customHeight="1">
      <c r="A5" s="127">
        <f>+IF(WEEKDAY(B5)=2,(skema!B5-par!$B$5+par!$K$6)/7+1,"")</f>
        <v>5</v>
      </c>
      <c r="B5" s="128">
        <f>+par!B4</f>
        <v>46048</v>
      </c>
      <c r="C5" s="132" t="s">
        <v>11</v>
      </c>
      <c r="D5" s="130"/>
      <c r="E5" s="131"/>
      <c r="F5" s="131"/>
      <c r="G5" s="132"/>
      <c r="H5" s="133"/>
      <c r="I5" s="129"/>
      <c r="J5" s="129"/>
      <c r="K5" s="129"/>
      <c r="L5" s="134" t="s">
        <v>12</v>
      </c>
    </row>
    <row r="6" spans="1:15" ht="15.75" customHeight="1">
      <c r="A6" s="135" t="str">
        <f>+IF(WEEKDAY(B6)=2,(skema!B6-par!$B$5+par!$K$6)/7+1,"")</f>
        <v/>
      </c>
      <c r="B6" s="136">
        <f>+B5+IF(WEEKDAY(B5)=6,3,1)</f>
        <v>46049</v>
      </c>
      <c r="C6" s="140" t="s">
        <v>13</v>
      </c>
      <c r="D6" s="138"/>
      <c r="E6" s="139"/>
      <c r="F6" s="139"/>
      <c r="G6" s="140"/>
      <c r="H6" s="141"/>
      <c r="I6" s="137"/>
      <c r="J6" s="137"/>
      <c r="K6" s="137"/>
      <c r="L6" s="142"/>
    </row>
    <row r="7" spans="1:15" ht="15.75" customHeight="1">
      <c r="A7" s="135" t="str">
        <f>+IF(WEEKDAY(B7)=2,(skema!B7-par!$B$5+par!$K$6)/7+1,"")</f>
        <v/>
      </c>
      <c r="B7" s="136">
        <f>+B6+IF(WEEKDAY(B6)=6,3,1)</f>
        <v>46050</v>
      </c>
      <c r="C7" s="140" t="s">
        <v>14</v>
      </c>
      <c r="D7" s="138"/>
      <c r="E7" s="139"/>
      <c r="F7" s="139"/>
      <c r="G7" s="140"/>
      <c r="H7" s="141"/>
      <c r="I7" s="137"/>
      <c r="J7" s="137"/>
      <c r="K7" s="137"/>
      <c r="L7" s="142" t="s">
        <v>15</v>
      </c>
    </row>
    <row r="8" spans="1:15" ht="15.75" customHeight="1">
      <c r="A8" s="135" t="str">
        <f>+IF(WEEKDAY(B8)=2,(skema!B8-par!$B$5+par!$K$6)/7+1,"")</f>
        <v/>
      </c>
      <c r="B8" s="136">
        <f>+B7+IF(WEEKDAY(B7)=6,3,1)</f>
        <v>46051</v>
      </c>
      <c r="C8" s="140" t="s">
        <v>16</v>
      </c>
      <c r="D8" s="138"/>
      <c r="E8" s="139"/>
      <c r="F8" s="139"/>
      <c r="G8" s="140" t="s">
        <v>17</v>
      </c>
      <c r="H8" s="141"/>
      <c r="I8" s="137"/>
      <c r="J8" s="137"/>
      <c r="K8" s="137"/>
      <c r="L8" s="142"/>
    </row>
    <row r="9" spans="1:15" ht="15.75" customHeight="1" thickBot="1">
      <c r="A9" s="143" t="str">
        <f>+IF(WEEKDAY(B9)=2,(skema!B9-par!$B$5+par!$K$6)/7+1,"")</f>
        <v/>
      </c>
      <c r="B9" s="144">
        <f>+B8+IF(WEEKDAY(B8)=6,3,1)</f>
        <v>46052</v>
      </c>
      <c r="C9" s="148" t="s">
        <v>18</v>
      </c>
      <c r="D9" s="146"/>
      <c r="E9" s="147"/>
      <c r="F9" s="147"/>
      <c r="G9" s="148"/>
      <c r="H9" s="149"/>
      <c r="I9" s="145"/>
      <c r="J9" s="145"/>
      <c r="K9" s="145"/>
      <c r="L9" s="150"/>
      <c r="O9" s="152"/>
    </row>
    <row r="10" spans="1:15" ht="15.75" customHeight="1" thickBot="1">
      <c r="A10" s="125"/>
      <c r="B10" s="206" t="s">
        <v>19</v>
      </c>
      <c r="C10" s="207"/>
      <c r="D10" s="207"/>
      <c r="E10" s="207"/>
      <c r="F10" s="207"/>
      <c r="G10" s="207"/>
      <c r="H10" s="207"/>
      <c r="I10" s="207"/>
      <c r="J10" s="207"/>
      <c r="K10" s="208"/>
      <c r="L10" s="126"/>
      <c r="O10" s="152"/>
    </row>
    <row r="11" spans="1:15" ht="15.75" customHeight="1">
      <c r="A11" s="135">
        <f>+IF(WEEKDAY(B11)=2,(skema!B11-par!$B$5+par!$K$6)/7+1,"")</f>
        <v>6</v>
      </c>
      <c r="B11" s="128">
        <f>+B9+IF(WEEKDAY(B9)=6,3,1)</f>
        <v>46055</v>
      </c>
      <c r="C11" s="132" t="s">
        <v>20</v>
      </c>
      <c r="D11" s="130"/>
      <c r="E11" s="131"/>
      <c r="F11" s="131"/>
      <c r="G11" s="132"/>
      <c r="H11" s="133"/>
      <c r="I11" s="129"/>
      <c r="J11" s="129"/>
      <c r="K11" s="129"/>
      <c r="L11" s="134"/>
      <c r="O11" s="152"/>
    </row>
    <row r="12" spans="1:15" ht="15.75" customHeight="1">
      <c r="A12" s="135" t="str">
        <f>+IF(WEEKDAY(B12)=2,(skema!B12-par!$B$5+par!$K$6)/7+1,"")</f>
        <v/>
      </c>
      <c r="B12" s="136">
        <f>+B11+IF(WEEKDAY(B11)=6,3,1)</f>
        <v>46056</v>
      </c>
      <c r="C12" s="140" t="s">
        <v>21</v>
      </c>
      <c r="D12" s="138"/>
      <c r="E12" s="139"/>
      <c r="F12" s="139"/>
      <c r="G12" s="140"/>
      <c r="H12" s="141"/>
      <c r="I12" s="137"/>
      <c r="J12" s="137"/>
      <c r="K12" s="137"/>
      <c r="L12" s="142" t="s">
        <v>22</v>
      </c>
      <c r="O12" s="152"/>
    </row>
    <row r="13" spans="1:15" ht="15.75" customHeight="1">
      <c r="A13" s="135" t="str">
        <f>+IF(WEEKDAY(B13)=2,(skema!B13-par!$B$5+par!$K$6)/7+1,"")</f>
        <v/>
      </c>
      <c r="B13" s="136">
        <f>+B12+IF(WEEKDAY(B12)=6,3,1)</f>
        <v>46057</v>
      </c>
      <c r="C13" s="140" t="s">
        <v>14</v>
      </c>
      <c r="D13" s="138"/>
      <c r="E13" s="139"/>
      <c r="F13" s="139"/>
      <c r="G13" s="140"/>
      <c r="H13" s="141"/>
      <c r="I13" s="137"/>
      <c r="J13" s="137"/>
      <c r="K13" s="137"/>
      <c r="L13" s="142" t="s">
        <v>23</v>
      </c>
      <c r="O13" s="152"/>
    </row>
    <row r="14" spans="1:15" ht="15.75" customHeight="1">
      <c r="A14" s="135" t="str">
        <f>+IF(WEEKDAY(B14)=2,(skema!B14-par!$B$5+par!$K$6)/7+1,"")</f>
        <v/>
      </c>
      <c r="B14" s="136">
        <f>+B13+IF(WEEKDAY(B13)=6,3,1)</f>
        <v>46058</v>
      </c>
      <c r="C14" s="140" t="s">
        <v>16</v>
      </c>
      <c r="D14" s="138"/>
      <c r="E14" s="139"/>
      <c r="F14" s="139"/>
      <c r="G14" s="140" t="s">
        <v>17</v>
      </c>
      <c r="H14" s="141"/>
      <c r="I14" s="137"/>
      <c r="J14" s="137"/>
      <c r="K14" s="137"/>
      <c r="L14" s="142"/>
      <c r="O14" s="152"/>
    </row>
    <row r="15" spans="1:15" ht="15.75" customHeight="1" thickBot="1">
      <c r="A15" s="143" t="str">
        <f>+IF(WEEKDAY(B15)=2,(skema!B15-par!$B$5+par!$K$6)/7+1,"")</f>
        <v/>
      </c>
      <c r="B15" s="144">
        <f>+B14+IF(WEEKDAY(B14)=6,3,1)</f>
        <v>46059</v>
      </c>
      <c r="C15" s="148" t="s">
        <v>24</v>
      </c>
      <c r="D15" s="146"/>
      <c r="E15" s="147"/>
      <c r="F15" s="147"/>
      <c r="G15" s="148"/>
      <c r="H15" s="149"/>
      <c r="I15" s="145"/>
      <c r="J15" s="145"/>
      <c r="K15" s="145"/>
      <c r="L15" s="150"/>
      <c r="O15" s="152"/>
    </row>
    <row r="16" spans="1:15" ht="21" customHeight="1" thickBot="1">
      <c r="A16" s="14"/>
      <c r="B16" s="197" t="s">
        <v>25</v>
      </c>
      <c r="C16" s="198"/>
      <c r="D16" s="198"/>
      <c r="E16" s="198"/>
      <c r="F16" s="198"/>
      <c r="G16" s="198"/>
      <c r="H16" s="198"/>
      <c r="I16" s="198"/>
      <c r="J16" s="198"/>
      <c r="K16" s="200"/>
      <c r="L16" s="15"/>
    </row>
    <row r="17" spans="1:12" ht="16.5" customHeight="1" thickBot="1">
      <c r="A17" s="18"/>
      <c r="B17" s="204" t="s">
        <v>26</v>
      </c>
      <c r="C17" s="209"/>
      <c r="D17" s="209"/>
      <c r="E17" s="209"/>
      <c r="F17" s="209"/>
      <c r="G17" s="209"/>
      <c r="H17" s="209"/>
      <c r="I17" s="209"/>
      <c r="J17" s="209"/>
      <c r="K17" s="210"/>
      <c r="L17" s="16"/>
    </row>
    <row r="18" spans="1:12" ht="15.75" customHeight="1">
      <c r="A18" s="18">
        <f>+IF(WEEKDAY(B18)=2,(skema!B18-par!$B$5+par!$K$6)/7+1,"")</f>
        <v>7</v>
      </c>
      <c r="B18" s="25">
        <f>+B15+IF(WEEKDAY(B15)=6,3,1)</f>
        <v>46062</v>
      </c>
      <c r="C18" s="30" t="s">
        <v>27</v>
      </c>
      <c r="D18" s="31"/>
      <c r="E18" s="32"/>
      <c r="F18" s="32"/>
      <c r="G18" s="33"/>
      <c r="H18" s="34"/>
      <c r="I18" s="30"/>
      <c r="J18" s="30"/>
      <c r="K18" s="30"/>
      <c r="L18" s="35" t="s">
        <v>28</v>
      </c>
    </row>
    <row r="19" spans="1:12" ht="15.75" customHeight="1">
      <c r="A19" s="19" t="str">
        <f>+IF(WEEKDAY(B19)=2,(skema!B19-par!$B$5+par!$K$6)/7+1,"")</f>
        <v/>
      </c>
      <c r="B19" s="25">
        <f>+B18+IF(WEEKDAY(B18)=6,3,1)</f>
        <v>46063</v>
      </c>
      <c r="C19" s="158" t="s">
        <v>29</v>
      </c>
      <c r="D19" s="37"/>
      <c r="E19" s="38"/>
      <c r="F19" s="38"/>
      <c r="G19" s="39"/>
      <c r="H19" s="40"/>
      <c r="I19" s="36"/>
      <c r="J19" s="36"/>
      <c r="K19" s="36"/>
      <c r="L19" s="41" t="s">
        <v>30</v>
      </c>
    </row>
    <row r="20" spans="1:12" ht="15.75" customHeight="1">
      <c r="A20" s="19" t="str">
        <f>+IF(WEEKDAY(B20)=2,(skema!B20-par!$B$5+par!$K$6)/7+1,"")</f>
        <v/>
      </c>
      <c r="B20" s="25">
        <f>+B19+IF(WEEKDAY(B19)=6,3,1)</f>
        <v>46064</v>
      </c>
      <c r="C20" s="158" t="s">
        <v>31</v>
      </c>
      <c r="D20" s="37"/>
      <c r="E20" s="38"/>
      <c r="F20" s="38"/>
      <c r="G20" s="39"/>
      <c r="H20" s="40"/>
      <c r="I20" s="36"/>
      <c r="J20" s="36"/>
      <c r="K20" s="36"/>
      <c r="L20" s="41" t="s">
        <v>15</v>
      </c>
    </row>
    <row r="21" spans="1:12" ht="15.75" customHeight="1">
      <c r="A21" s="19" t="str">
        <f>+IF(WEEKDAY(B21)=2,(skema!B21-par!$B$5+par!$K$6)/7+1,"")</f>
        <v/>
      </c>
      <c r="B21" s="25">
        <f>+B20+IF(WEEKDAY(B20)=6,3,1)</f>
        <v>46065</v>
      </c>
      <c r="C21" s="158" t="s">
        <v>16</v>
      </c>
      <c r="D21" s="37"/>
      <c r="E21" s="38"/>
      <c r="F21" s="38"/>
      <c r="G21" s="39" t="s">
        <v>17</v>
      </c>
      <c r="H21" s="40"/>
      <c r="I21" s="36"/>
      <c r="J21" s="36"/>
      <c r="K21" s="36"/>
      <c r="L21" s="41"/>
    </row>
    <row r="22" spans="1:12" ht="16.5" customHeight="1" thickBot="1">
      <c r="A22" s="20" t="str">
        <f>+IF(WEEKDAY(B22)=2,(skema!B22-par!$B$5+par!$K$6)/7+1,"")</f>
        <v/>
      </c>
      <c r="B22" s="26">
        <f>+B21+IF(WEEKDAY(B21)=6,3,1)</f>
        <v>46066</v>
      </c>
      <c r="C22" s="159" t="s">
        <v>32</v>
      </c>
      <c r="D22" s="43"/>
      <c r="E22" s="44"/>
      <c r="F22" s="44"/>
      <c r="G22" s="45"/>
      <c r="H22" s="46"/>
      <c r="I22" s="42"/>
      <c r="J22" s="42"/>
      <c r="K22" s="42"/>
      <c r="L22" s="47"/>
    </row>
    <row r="23" spans="1:12" ht="16.5" customHeight="1" thickBot="1">
      <c r="A23" s="18"/>
      <c r="B23" s="204" t="s">
        <v>33</v>
      </c>
      <c r="C23" s="209"/>
      <c r="D23" s="209"/>
      <c r="E23" s="209"/>
      <c r="F23" s="209"/>
      <c r="G23" s="209"/>
      <c r="H23" s="209"/>
      <c r="I23" s="209"/>
      <c r="J23" s="209"/>
      <c r="K23" s="210"/>
      <c r="L23" s="17"/>
    </row>
    <row r="24" spans="1:12" ht="15.75" customHeight="1">
      <c r="A24" s="18">
        <f>+IF(WEEKDAY(B24)=2,(skema!B24-par!$B$5+par!$K$6)/7+1,"")</f>
        <v>8</v>
      </c>
      <c r="B24" s="24">
        <f>+B22+IF(WEEKDAY(B22)=6,3,1)</f>
        <v>46069</v>
      </c>
      <c r="C24" s="30" t="s">
        <v>34</v>
      </c>
      <c r="D24" s="31"/>
      <c r="E24" s="32"/>
      <c r="F24" s="32"/>
      <c r="G24" s="33"/>
      <c r="H24" s="34"/>
      <c r="I24" s="30"/>
      <c r="J24" s="30"/>
      <c r="K24" s="30"/>
      <c r="L24" s="35"/>
    </row>
    <row r="25" spans="1:12" ht="15.75" customHeight="1">
      <c r="A25" s="19" t="str">
        <f>+IF(WEEKDAY(B25)=2,(skema!B25-par!$B$5+par!$K$6)/7+1,"")</f>
        <v/>
      </c>
      <c r="B25" s="25">
        <f>+B24+IF(WEEKDAY(B24)=6,3,1)</f>
        <v>46070</v>
      </c>
      <c r="C25" s="36" t="s">
        <v>35</v>
      </c>
      <c r="D25" s="37"/>
      <c r="E25" s="38"/>
      <c r="F25" s="38"/>
      <c r="G25" s="39"/>
      <c r="H25" s="40"/>
      <c r="I25" s="36"/>
      <c r="J25" s="36"/>
      <c r="K25" s="36"/>
      <c r="L25" s="41"/>
    </row>
    <row r="26" spans="1:12" ht="15.75" customHeight="1">
      <c r="A26" s="19" t="str">
        <f>+IF(WEEKDAY(B26)=2,(skema!B26-par!$B$5+par!$K$6)/7+1,"")</f>
        <v/>
      </c>
      <c r="B26" s="25">
        <f>+B25+IF(WEEKDAY(B25)=6,3,1)</f>
        <v>46071</v>
      </c>
      <c r="C26" s="36" t="s">
        <v>31</v>
      </c>
      <c r="D26" s="37"/>
      <c r="E26" s="154"/>
      <c r="F26" s="38"/>
      <c r="G26" s="39"/>
      <c r="H26" s="40"/>
      <c r="I26" s="36"/>
      <c r="J26" s="36"/>
      <c r="K26" s="36"/>
      <c r="L26" s="41" t="s">
        <v>15</v>
      </c>
    </row>
    <row r="27" spans="1:12" ht="15.75" customHeight="1">
      <c r="A27" s="19" t="str">
        <f>+IF(WEEKDAY(B27)=2,(skema!B27-par!$B$5+par!$K$6)/7+1,"")</f>
        <v/>
      </c>
      <c r="B27" s="25">
        <f>+B26+IF(WEEKDAY(B26)=6,3,1)</f>
        <v>46072</v>
      </c>
      <c r="C27" s="36" t="s">
        <v>16</v>
      </c>
      <c r="D27" s="37"/>
      <c r="E27" s="38"/>
      <c r="F27" s="38"/>
      <c r="G27" s="39" t="s">
        <v>17</v>
      </c>
      <c r="H27" s="40"/>
      <c r="I27" s="36"/>
      <c r="J27" s="36"/>
      <c r="K27" s="36"/>
      <c r="L27" s="41"/>
    </row>
    <row r="28" spans="1:12" ht="16.5" customHeight="1" thickBot="1">
      <c r="A28" s="20" t="str">
        <f>+IF(WEEKDAY(B28)=2,(skema!B28-par!$B$5+par!$K$6)/7+1,"")</f>
        <v/>
      </c>
      <c r="B28" s="26">
        <f>+B27+IF(WEEKDAY(B27)=6,3,1)</f>
        <v>46073</v>
      </c>
      <c r="C28" s="42" t="s">
        <v>36</v>
      </c>
      <c r="D28" s="43"/>
      <c r="E28" s="44"/>
      <c r="F28" s="44"/>
      <c r="G28" s="45"/>
      <c r="H28" s="46"/>
      <c r="I28" s="42"/>
      <c r="J28" s="42"/>
      <c r="K28" s="42"/>
      <c r="L28" s="47"/>
    </row>
    <row r="29" spans="1:12" ht="16.5" customHeight="1" thickBot="1">
      <c r="A29" s="18"/>
      <c r="B29" s="204" t="s">
        <v>37</v>
      </c>
      <c r="C29" s="214"/>
      <c r="D29" s="215"/>
      <c r="E29" s="215"/>
      <c r="F29" s="215"/>
      <c r="G29" s="215"/>
      <c r="H29" s="215"/>
      <c r="I29" s="215"/>
      <c r="J29" s="215"/>
      <c r="K29" s="216"/>
      <c r="L29" s="16"/>
    </row>
    <row r="30" spans="1:12" ht="15.75" customHeight="1">
      <c r="A30" s="18">
        <f>+IF(WEEKDAY(B30)=2,(skema!B30-par!$B$5+par!$K$6)/7+1,"")</f>
        <v>9</v>
      </c>
      <c r="B30" s="24">
        <f>+B28+IF(WEEKDAY(B28)=6,3,1)</f>
        <v>46076</v>
      </c>
      <c r="C30" s="30" t="s">
        <v>38</v>
      </c>
      <c r="D30" s="31"/>
      <c r="E30" s="32"/>
      <c r="F30" s="32"/>
      <c r="G30" s="33"/>
      <c r="H30" s="34"/>
      <c r="I30" s="30"/>
      <c r="J30" s="30"/>
      <c r="K30" s="30"/>
      <c r="L30" s="35"/>
    </row>
    <row r="31" spans="1:12" ht="15.75" customHeight="1">
      <c r="A31" s="19" t="str">
        <f>+IF(WEEKDAY(B31)=2,(skema!B31-par!$B$5+par!$K$6)/7+1,"")</f>
        <v/>
      </c>
      <c r="B31" s="25">
        <f>+B30+IF(WEEKDAY(B30)=6,3,1)</f>
        <v>46077</v>
      </c>
      <c r="C31" s="36" t="s">
        <v>39</v>
      </c>
      <c r="D31" s="37"/>
      <c r="E31" s="38"/>
      <c r="F31" s="38"/>
      <c r="G31" s="39"/>
      <c r="H31" s="40"/>
      <c r="I31" s="36"/>
      <c r="J31" s="36"/>
      <c r="K31" s="36"/>
      <c r="L31" s="41"/>
    </row>
    <row r="32" spans="1:12" ht="15.75" customHeight="1">
      <c r="A32" s="19" t="str">
        <f>+IF(WEEKDAY(B32)=2,(skema!B32-par!$B$5+par!$K$6)/7+1,"")</f>
        <v/>
      </c>
      <c r="B32" s="25">
        <f>+B31+IF(WEEKDAY(B31)=6,3,1)</f>
        <v>46078</v>
      </c>
      <c r="C32" s="36" t="s">
        <v>31</v>
      </c>
      <c r="D32" s="37"/>
      <c r="E32" s="38"/>
      <c r="F32" s="38"/>
      <c r="G32" s="39"/>
      <c r="H32" s="40"/>
      <c r="I32" s="36"/>
      <c r="J32" s="36"/>
      <c r="K32" s="36"/>
      <c r="L32" s="41" t="s">
        <v>40</v>
      </c>
    </row>
    <row r="33" spans="1:12" ht="15.75" customHeight="1">
      <c r="A33" s="19" t="str">
        <f>+IF(WEEKDAY(B33)=2,(skema!B33-par!$B$5+par!$K$6)/7+1,"")</f>
        <v/>
      </c>
      <c r="B33" s="25">
        <f>+B32+IF(WEEKDAY(B32)=6,3,1)</f>
        <v>46079</v>
      </c>
      <c r="C33" s="36" t="s">
        <v>16</v>
      </c>
      <c r="D33" s="37"/>
      <c r="E33" s="38"/>
      <c r="F33" s="38"/>
      <c r="G33" s="39" t="s">
        <v>17</v>
      </c>
      <c r="H33" s="40"/>
      <c r="I33" s="36"/>
      <c r="J33" s="36"/>
      <c r="K33" s="36"/>
      <c r="L33" s="41"/>
    </row>
    <row r="34" spans="1:12" ht="16.5" customHeight="1" thickBot="1">
      <c r="A34" s="20" t="str">
        <f>+IF(WEEKDAY(B34)=2,(skema!B34-par!$B$5+par!$K$6)/7+1,"")</f>
        <v/>
      </c>
      <c r="B34" s="26">
        <f>+B33+IF(WEEKDAY(B33)=6,3,1)</f>
        <v>46080</v>
      </c>
      <c r="C34" s="42" t="s">
        <v>41</v>
      </c>
      <c r="D34" s="43"/>
      <c r="E34" s="44"/>
      <c r="F34" s="44"/>
      <c r="G34" s="45"/>
      <c r="H34" s="46"/>
      <c r="I34" s="42"/>
      <c r="J34" s="42"/>
      <c r="K34" s="42"/>
      <c r="L34" s="47"/>
    </row>
    <row r="35" spans="1:12" ht="21" customHeight="1" thickBot="1">
      <c r="A35" s="14"/>
      <c r="B35" s="197" t="s">
        <v>42</v>
      </c>
      <c r="C35" s="198"/>
      <c r="D35" s="217"/>
      <c r="E35" s="217"/>
      <c r="F35" s="217"/>
      <c r="G35" s="217"/>
      <c r="H35" s="217"/>
      <c r="I35" s="217"/>
      <c r="J35" s="217"/>
      <c r="K35" s="218"/>
      <c r="L35" s="15"/>
    </row>
    <row r="36" spans="1:12" ht="16.5" customHeight="1" thickBot="1">
      <c r="A36" s="66"/>
      <c r="B36" s="205" t="s">
        <v>43</v>
      </c>
      <c r="C36" s="219"/>
      <c r="D36" s="220"/>
      <c r="E36" s="220"/>
      <c r="F36" s="220"/>
      <c r="G36" s="220"/>
      <c r="H36" s="220"/>
      <c r="I36" s="220"/>
      <c r="J36" s="220"/>
      <c r="K36" s="221"/>
      <c r="L36" s="67"/>
    </row>
    <row r="37" spans="1:12" ht="15.75" customHeight="1">
      <c r="A37" s="68">
        <f>+IF(WEEKDAY(B37)=2,(skema!B37-par!$B$5+par!$K$6)/7+1,"")</f>
        <v>10</v>
      </c>
      <c r="B37" s="69">
        <f>+B34+IF(WEEKDAY(B34)=6,3,1)</f>
        <v>46083</v>
      </c>
      <c r="C37" s="70" t="s">
        <v>44</v>
      </c>
      <c r="D37" s="71"/>
      <c r="E37" s="72"/>
      <c r="F37" s="72"/>
      <c r="G37" s="73"/>
      <c r="H37" s="74"/>
      <c r="I37" s="70"/>
      <c r="J37" s="70"/>
      <c r="K37" s="70"/>
      <c r="L37" s="90" t="s">
        <v>45</v>
      </c>
    </row>
    <row r="38" spans="1:12" ht="15.75" customHeight="1">
      <c r="A38" s="75" t="str">
        <f>+IF(WEEKDAY(B38)=2,(skema!B38-par!$B$5+par!$K$6)/7+1,"")</f>
        <v/>
      </c>
      <c r="B38" s="76">
        <f>+B37+IF(WEEKDAY(B37)=6,3,1)</f>
        <v>46084</v>
      </c>
      <c r="C38" s="77" t="s">
        <v>46</v>
      </c>
      <c r="D38" s="78"/>
      <c r="E38" s="79"/>
      <c r="F38" s="79"/>
      <c r="G38" s="80"/>
      <c r="H38" s="81"/>
      <c r="I38" s="77"/>
      <c r="J38" s="77"/>
      <c r="K38" s="77"/>
      <c r="L38" s="91"/>
    </row>
    <row r="39" spans="1:12" ht="15.75" customHeight="1">
      <c r="A39" s="75" t="str">
        <f>+IF(WEEKDAY(B39)=2,(skema!B39-par!$B$5+par!$K$6)/7+1,"")</f>
        <v/>
      </c>
      <c r="B39" s="76">
        <f>+B38+IF(WEEKDAY(B38)=6,3,1)</f>
        <v>46085</v>
      </c>
      <c r="C39" s="79" t="s">
        <v>47</v>
      </c>
      <c r="D39" s="78"/>
      <c r="E39" s="79"/>
      <c r="F39" s="79"/>
      <c r="G39" s="80"/>
      <c r="H39" s="81"/>
      <c r="I39" s="77"/>
      <c r="J39" s="77"/>
      <c r="K39" s="77"/>
      <c r="L39" s="91" t="s">
        <v>48</v>
      </c>
    </row>
    <row r="40" spans="1:12" ht="15.75" customHeight="1">
      <c r="A40" s="75" t="str">
        <f>+IF(WEEKDAY(B40)=2,(skema!B40-par!$B$5+par!$K$6)/7+1,"")</f>
        <v/>
      </c>
      <c r="B40" s="76">
        <f>+B39+IF(WEEKDAY(B39)=6,3,1)</f>
        <v>46086</v>
      </c>
      <c r="C40" s="77" t="s">
        <v>16</v>
      </c>
      <c r="D40" s="78"/>
      <c r="E40" s="79"/>
      <c r="F40" s="79"/>
      <c r="G40" s="80" t="s">
        <v>17</v>
      </c>
      <c r="H40" s="81"/>
      <c r="I40" s="77"/>
      <c r="J40" s="77"/>
      <c r="K40" s="77"/>
      <c r="L40" s="91"/>
    </row>
    <row r="41" spans="1:12" ht="16.5" customHeight="1" thickBot="1">
      <c r="A41" s="82" t="str">
        <f>+IF(WEEKDAY(B41)=2,(skema!B41-par!$B$5+par!$K$6)/7+1,"")</f>
        <v/>
      </c>
      <c r="B41" s="83">
        <f>+B40+IF(WEEKDAY(B40)=6,3,1)</f>
        <v>46087</v>
      </c>
      <c r="C41" s="84" t="s">
        <v>49</v>
      </c>
      <c r="D41" s="85"/>
      <c r="E41" s="86"/>
      <c r="F41" s="86"/>
      <c r="G41" s="87"/>
      <c r="H41" s="88"/>
      <c r="I41" s="84"/>
      <c r="J41" s="84"/>
      <c r="K41" s="84"/>
      <c r="L41" s="92"/>
    </row>
    <row r="42" spans="1:12" ht="16.5" customHeight="1" thickBot="1">
      <c r="A42" s="68"/>
      <c r="B42" s="205" t="s">
        <v>50</v>
      </c>
      <c r="C42" s="219"/>
      <c r="D42" s="220"/>
      <c r="E42" s="220"/>
      <c r="F42" s="220"/>
      <c r="G42" s="220"/>
      <c r="H42" s="220"/>
      <c r="I42" s="220"/>
      <c r="J42" s="220"/>
      <c r="K42" s="221"/>
      <c r="L42" s="89"/>
    </row>
    <row r="43" spans="1:12" ht="15.75" customHeight="1">
      <c r="A43" s="68">
        <f>+IF(WEEKDAY(B43)=2,(skema!B43-par!$B$5+par!$K$6)/7+1,"")</f>
        <v>11</v>
      </c>
      <c r="B43" s="69">
        <f>+B41+IF(WEEKDAY(B41)=6,3,1)</f>
        <v>46090</v>
      </c>
      <c r="C43" s="70" t="s">
        <v>51</v>
      </c>
      <c r="D43" s="71"/>
      <c r="E43" s="72"/>
      <c r="F43" s="72"/>
      <c r="G43" s="73"/>
      <c r="H43" s="74"/>
      <c r="I43" s="70"/>
      <c r="J43" s="70"/>
      <c r="K43" s="70"/>
      <c r="L43" s="90"/>
    </row>
    <row r="44" spans="1:12" ht="15.75" customHeight="1">
      <c r="A44" s="75" t="str">
        <f>+IF(WEEKDAY(B44)=2,(skema!B44-par!$B$5+par!$K$6)/7+1,"")</f>
        <v/>
      </c>
      <c r="B44" s="76">
        <f>+B43+IF(WEEKDAY(B43)=6,3,1)</f>
        <v>46091</v>
      </c>
      <c r="C44" s="77" t="s">
        <v>52</v>
      </c>
      <c r="D44" s="78"/>
      <c r="E44" s="79"/>
      <c r="F44" s="79"/>
      <c r="G44" s="80"/>
      <c r="H44" s="81"/>
      <c r="I44" s="77"/>
      <c r="J44" s="77"/>
      <c r="K44" s="77"/>
      <c r="L44" s="91" t="s">
        <v>53</v>
      </c>
    </row>
    <row r="45" spans="1:12" ht="15.75" customHeight="1">
      <c r="A45" s="75" t="str">
        <f>+IF(WEEKDAY(B45)=2,(skema!B45-par!$B$5+par!$K$6)/7+1,"")</f>
        <v/>
      </c>
      <c r="B45" s="76">
        <f>+B44+IF(WEEKDAY(B44)=6,3,1)</f>
        <v>46092</v>
      </c>
      <c r="C45" s="77" t="s">
        <v>54</v>
      </c>
      <c r="D45" s="79"/>
      <c r="E45" s="79"/>
      <c r="F45" s="79"/>
      <c r="G45" s="80"/>
      <c r="H45" s="81"/>
      <c r="I45" s="77"/>
      <c r="J45" s="77"/>
      <c r="K45" s="77"/>
      <c r="L45" s="91" t="s">
        <v>55</v>
      </c>
    </row>
    <row r="46" spans="1:12" ht="15.75" customHeight="1">
      <c r="A46" s="75" t="str">
        <f>+IF(WEEKDAY(B46)=2,(skema!B46-par!$B$5+par!$K$6)/7+1,"")</f>
        <v/>
      </c>
      <c r="B46" s="76">
        <f>+B45+IF(WEEKDAY(B45)=6,3,1)</f>
        <v>46093</v>
      </c>
      <c r="C46" s="77" t="s">
        <v>16</v>
      </c>
      <c r="D46" s="78"/>
      <c r="E46" s="79"/>
      <c r="F46" s="79"/>
      <c r="G46" s="80" t="s">
        <v>17</v>
      </c>
      <c r="H46" s="81"/>
      <c r="I46" s="77"/>
      <c r="J46" s="77"/>
      <c r="K46" s="77"/>
      <c r="L46" s="91"/>
    </row>
    <row r="47" spans="1:12" ht="16.5" customHeight="1" thickBot="1">
      <c r="A47" s="82" t="str">
        <f>+IF(WEEKDAY(B47)=2,(skema!B47-par!$B$5+par!$K$6)/7+1,"")</f>
        <v/>
      </c>
      <c r="B47" s="83">
        <f>+B46+IF(WEEKDAY(B46)=6,3,1)</f>
        <v>46094</v>
      </c>
      <c r="C47" s="84" t="s">
        <v>56</v>
      </c>
      <c r="D47" s="85"/>
      <c r="E47" s="86"/>
      <c r="F47" s="86"/>
      <c r="G47" s="87"/>
      <c r="H47" s="88"/>
      <c r="I47" s="84"/>
      <c r="J47" s="84"/>
      <c r="K47" s="84"/>
      <c r="L47" s="92"/>
    </row>
    <row r="48" spans="1:12" ht="16.5" customHeight="1" thickBot="1">
      <c r="A48" s="68"/>
      <c r="B48" s="205" t="s">
        <v>57</v>
      </c>
      <c r="C48" s="219"/>
      <c r="D48" s="220"/>
      <c r="E48" s="220"/>
      <c r="F48" s="220"/>
      <c r="G48" s="220"/>
      <c r="H48" s="220"/>
      <c r="I48" s="220"/>
      <c r="J48" s="220"/>
      <c r="K48" s="221"/>
      <c r="L48" s="89"/>
    </row>
    <row r="49" spans="1:12" ht="15.75" customHeight="1">
      <c r="A49" s="68">
        <f>+IF(WEEKDAY(B49)=2,(skema!B49-par!$B$5+par!$K$6)/7+1,"")</f>
        <v>12</v>
      </c>
      <c r="B49" s="69">
        <f>+B47+IF(WEEKDAY(B47)=6,3,1)</f>
        <v>46097</v>
      </c>
      <c r="C49" s="70" t="s">
        <v>58</v>
      </c>
      <c r="D49" s="71"/>
      <c r="E49" s="72"/>
      <c r="F49" s="72"/>
      <c r="G49" s="73"/>
      <c r="H49" s="74"/>
      <c r="I49" s="70"/>
      <c r="J49" s="70"/>
      <c r="K49" s="70"/>
      <c r="L49" s="90"/>
    </row>
    <row r="50" spans="1:12" ht="15.75" customHeight="1">
      <c r="A50" s="75" t="str">
        <f>+IF(WEEKDAY(B50)=2,(skema!B50-par!$B$5+par!$K$6)/7+1,"")</f>
        <v/>
      </c>
      <c r="B50" s="76">
        <f>+B49+IF(WEEKDAY(B49)=6,3,1)</f>
        <v>46098</v>
      </c>
      <c r="C50" s="77" t="s">
        <v>59</v>
      </c>
      <c r="D50" s="78"/>
      <c r="E50" s="79"/>
      <c r="F50" s="79"/>
      <c r="G50" s="80"/>
      <c r="H50" s="81"/>
      <c r="I50" s="77"/>
      <c r="J50" s="77"/>
      <c r="K50" s="77"/>
      <c r="L50" s="91"/>
    </row>
    <row r="51" spans="1:12" ht="15.75" customHeight="1">
      <c r="A51" s="75" t="str">
        <f>+IF(WEEKDAY(B51)=2,(skema!B51-par!$B$5+par!$K$6)/7+1,"")</f>
        <v/>
      </c>
      <c r="B51" s="76">
        <f>+B50+IF(WEEKDAY(B50)=6,3,1)</f>
        <v>46099</v>
      </c>
      <c r="C51" s="77" t="s">
        <v>60</v>
      </c>
      <c r="D51" s="78"/>
      <c r="E51" s="79"/>
      <c r="F51" s="79"/>
      <c r="G51" s="80"/>
      <c r="H51" s="81"/>
      <c r="I51" s="77"/>
      <c r="J51" s="77"/>
      <c r="K51" s="77"/>
      <c r="L51" s="91" t="s">
        <v>15</v>
      </c>
    </row>
    <row r="52" spans="1:12" ht="15.75" customHeight="1">
      <c r="A52" s="75" t="str">
        <f>+IF(WEEKDAY(B52)=2,(skema!B52-par!$B$5+par!$K$6)/7+1,"")</f>
        <v/>
      </c>
      <c r="B52" s="76">
        <f>+B51+IF(WEEKDAY(B51)=6,3,1)</f>
        <v>46100</v>
      </c>
      <c r="C52" s="77" t="s">
        <v>16</v>
      </c>
      <c r="D52" s="78"/>
      <c r="E52" s="79"/>
      <c r="F52" s="79"/>
      <c r="G52" s="80" t="s">
        <v>17</v>
      </c>
      <c r="H52" s="81"/>
      <c r="I52" s="77"/>
      <c r="J52" s="77"/>
      <c r="K52" s="77"/>
      <c r="L52" s="91"/>
    </row>
    <row r="53" spans="1:12" ht="16.5" customHeight="1" thickBot="1">
      <c r="A53" s="82" t="str">
        <f>+IF(WEEKDAY(B53)=2,(skema!B53-par!$B$5+par!$K$6)/7+1,"")</f>
        <v/>
      </c>
      <c r="B53" s="83">
        <f>+B52+IF(WEEKDAY(B52)=6,3,1)</f>
        <v>46101</v>
      </c>
      <c r="C53" s="84" t="s">
        <v>59</v>
      </c>
      <c r="D53" s="85"/>
      <c r="E53" s="86"/>
      <c r="F53" s="86"/>
      <c r="G53" s="87"/>
      <c r="H53" s="88"/>
      <c r="I53" s="84"/>
      <c r="J53" s="84"/>
      <c r="K53" s="84"/>
      <c r="L53" s="92" t="s">
        <v>61</v>
      </c>
    </row>
    <row r="54" spans="1:12" ht="16.5" customHeight="1" thickBot="1">
      <c r="A54" s="68"/>
      <c r="B54" s="205" t="s">
        <v>62</v>
      </c>
      <c r="C54" s="219"/>
      <c r="D54" s="220"/>
      <c r="E54" s="220"/>
      <c r="F54" s="220"/>
      <c r="G54" s="220"/>
      <c r="H54" s="220"/>
      <c r="I54" s="220"/>
      <c r="J54" s="220"/>
      <c r="K54" s="221"/>
      <c r="L54" s="89"/>
    </row>
    <row r="55" spans="1:12" ht="16.5" customHeight="1">
      <c r="A55" s="68">
        <f>+IF(WEEKDAY(B55)=2,(skema!B55-par!$B$5+par!$K$6)/7+1,"")</f>
        <v>13</v>
      </c>
      <c r="B55" s="69">
        <f>+B53+IF(WEEKDAY(B53)=6,3,1)</f>
        <v>46104</v>
      </c>
      <c r="C55" s="77" t="s">
        <v>63</v>
      </c>
      <c r="D55" s="78"/>
      <c r="E55" s="79"/>
      <c r="F55" s="79"/>
      <c r="G55" s="80"/>
      <c r="H55" s="81"/>
      <c r="I55" s="77"/>
      <c r="J55" s="77"/>
      <c r="K55" s="77"/>
      <c r="L55" s="91"/>
    </row>
    <row r="56" spans="1:12" ht="16.5" customHeight="1">
      <c r="A56" s="75" t="str">
        <f>+IF(WEEKDAY(B56)=2,(skema!B56-par!$B$5+par!$K$6)/7+1,"")</f>
        <v/>
      </c>
      <c r="B56" s="76">
        <f>+B55+IF(WEEKDAY(B55)=6,3,1)</f>
        <v>46105</v>
      </c>
      <c r="C56" s="77" t="s">
        <v>64</v>
      </c>
      <c r="D56" s="78"/>
      <c r="E56" s="79"/>
      <c r="F56" s="79"/>
      <c r="G56" s="80"/>
      <c r="H56" s="81"/>
      <c r="I56" s="77"/>
      <c r="J56" s="77"/>
      <c r="K56" s="77"/>
      <c r="L56" s="91" t="s">
        <v>65</v>
      </c>
    </row>
    <row r="57" spans="1:12" ht="16.5" customHeight="1">
      <c r="A57" s="75" t="str">
        <f>+IF(WEEKDAY(B57)=2,(skema!B57-par!$B$5+par!$K$6)/7+1,"")</f>
        <v/>
      </c>
      <c r="B57" s="76">
        <f>+B56+IF(WEEKDAY(B56)=6,3,1)</f>
        <v>46106</v>
      </c>
      <c r="C57" s="77" t="s">
        <v>66</v>
      </c>
      <c r="D57" s="78"/>
      <c r="E57" s="79"/>
      <c r="F57" s="79"/>
      <c r="G57" s="80"/>
      <c r="H57" s="81"/>
      <c r="I57" s="77"/>
      <c r="J57" s="77"/>
      <c r="K57" s="77"/>
      <c r="L57" s="91" t="s">
        <v>67</v>
      </c>
    </row>
    <row r="58" spans="1:12" ht="16.5" customHeight="1">
      <c r="A58" s="75" t="str">
        <f>+IF(WEEKDAY(B58)=2,(skema!B58-par!$B$5+par!$K$6)/7+1,"")</f>
        <v/>
      </c>
      <c r="B58" s="76">
        <f>+B57+IF(WEEKDAY(B57)=6,3,1)</f>
        <v>46107</v>
      </c>
      <c r="C58" s="77" t="s">
        <v>68</v>
      </c>
      <c r="D58" s="78"/>
      <c r="E58" s="79"/>
      <c r="F58" s="79"/>
      <c r="G58" s="80"/>
      <c r="H58" s="81"/>
      <c r="I58" s="77"/>
      <c r="J58" s="77"/>
      <c r="K58" s="77"/>
      <c r="L58" s="91"/>
    </row>
    <row r="59" spans="1:12" ht="16.5" customHeight="1" thickBot="1">
      <c r="A59" s="82" t="str">
        <f>+IF(WEEKDAY(B59)=2,(skema!B59-par!$B$5+par!$K$6)/7+1,"")</f>
        <v/>
      </c>
      <c r="B59" s="83">
        <f>+B58+IF(WEEKDAY(B58)=6,3,1)</f>
        <v>46108</v>
      </c>
      <c r="C59" s="84" t="s">
        <v>69</v>
      </c>
      <c r="D59" s="85"/>
      <c r="E59" s="86"/>
      <c r="F59" s="86"/>
      <c r="G59" s="87"/>
      <c r="H59" s="88"/>
      <c r="I59" s="84"/>
      <c r="J59" s="84"/>
      <c r="K59" s="84"/>
      <c r="L59" s="92"/>
    </row>
    <row r="60" spans="1:12" ht="21" customHeight="1" thickBot="1">
      <c r="A60" s="14"/>
      <c r="B60" s="197" t="s">
        <v>70</v>
      </c>
      <c r="C60" s="198"/>
      <c r="D60" s="198"/>
      <c r="E60" s="198"/>
      <c r="F60" s="198"/>
      <c r="G60" s="198"/>
      <c r="H60" s="198"/>
      <c r="I60" s="198"/>
      <c r="J60" s="198"/>
      <c r="K60" s="200"/>
      <c r="L60" s="15"/>
    </row>
    <row r="61" spans="1:12" ht="17.100000000000001" thickBot="1">
      <c r="A61" s="185">
        <v>14</v>
      </c>
      <c r="B61" s="211" t="s">
        <v>71</v>
      </c>
      <c r="C61" s="212"/>
      <c r="D61" s="212"/>
      <c r="E61" s="212"/>
      <c r="F61" s="212"/>
      <c r="G61" s="212"/>
      <c r="H61" s="212"/>
      <c r="I61" s="212"/>
      <c r="J61" s="212"/>
      <c r="K61" s="213"/>
      <c r="L61" s="186"/>
    </row>
    <row r="62" spans="1:12" ht="15.95" hidden="1">
      <c r="A62" s="160">
        <f>+IF(WEEKDAY(B62)=2,(skema!B62-par!$B$5+par!$K$6)/7+1,"")</f>
        <v>14</v>
      </c>
      <c r="B62" s="161">
        <f>+B59+IF(WEEKDAY(B53)=6,3,1)</f>
        <v>46111</v>
      </c>
      <c r="C62" s="162" t="s">
        <v>71</v>
      </c>
      <c r="D62" s="163"/>
      <c r="E62" s="164"/>
      <c r="F62" s="164"/>
      <c r="G62" s="165"/>
      <c r="H62" s="166"/>
      <c r="I62" s="167"/>
      <c r="J62" s="167"/>
      <c r="K62" s="167"/>
      <c r="L62" s="168"/>
    </row>
    <row r="63" spans="1:12" ht="15.95" hidden="1">
      <c r="A63" s="169" t="str">
        <f>+IF(WEEKDAY(B63)=2,(skema!B63-par!$B$5+par!$K$6)/7+1,"")</f>
        <v/>
      </c>
      <c r="B63" s="170">
        <f>+B62+IF(WEEKDAY(B62)=6,3,1)</f>
        <v>46112</v>
      </c>
      <c r="C63" s="162" t="s">
        <v>71</v>
      </c>
      <c r="D63" s="171"/>
      <c r="E63" s="172"/>
      <c r="F63" s="172"/>
      <c r="G63" s="173"/>
      <c r="H63" s="174"/>
      <c r="I63" s="175"/>
      <c r="J63" s="175"/>
      <c r="K63" s="175"/>
      <c r="L63" s="176"/>
    </row>
    <row r="64" spans="1:12" ht="15.95" hidden="1">
      <c r="A64" s="169" t="str">
        <f>+IF(WEEKDAY(B64)=2,(skema!B64-par!$B$5+par!$K$6)/7+1,"")</f>
        <v/>
      </c>
      <c r="B64" s="170">
        <f>+B63+IF(WEEKDAY(B63)=6,3,1)</f>
        <v>46113</v>
      </c>
      <c r="C64" s="162" t="s">
        <v>71</v>
      </c>
      <c r="D64" s="171"/>
      <c r="E64" s="172"/>
      <c r="F64" s="172"/>
      <c r="G64" s="173"/>
      <c r="H64" s="174"/>
      <c r="I64" s="175"/>
      <c r="J64" s="175"/>
      <c r="K64" s="175"/>
      <c r="L64" s="176"/>
    </row>
    <row r="65" spans="1:12" ht="15.95" hidden="1">
      <c r="A65" s="169" t="str">
        <f>+IF(WEEKDAY(B65)=2,(skema!B65-par!$B$5+par!$K$6)/7+1,"")</f>
        <v/>
      </c>
      <c r="B65" s="170">
        <f>+B64+IF(WEEKDAY(B64)=6,3,1)</f>
        <v>46114</v>
      </c>
      <c r="C65" s="162" t="s">
        <v>71</v>
      </c>
      <c r="D65" s="171"/>
      <c r="E65" s="172"/>
      <c r="F65" s="172"/>
      <c r="G65" s="173"/>
      <c r="H65" s="174"/>
      <c r="I65" s="175"/>
      <c r="J65" s="175"/>
      <c r="K65" s="175"/>
      <c r="L65" s="176"/>
    </row>
    <row r="66" spans="1:12" ht="17.100000000000001" hidden="1" thickBot="1">
      <c r="A66" s="177" t="str">
        <f>+IF(WEEKDAY(B66)=2,(skema!B66-par!$B$5+par!$K$6)/7+1,"")</f>
        <v/>
      </c>
      <c r="B66" s="178">
        <f>+B65+IF(WEEKDAY(B65)=6,3,1)</f>
        <v>46115</v>
      </c>
      <c r="C66" s="162" t="s">
        <v>71</v>
      </c>
      <c r="D66" s="179"/>
      <c r="E66" s="180"/>
      <c r="F66" s="180"/>
      <c r="G66" s="181"/>
      <c r="H66" s="182"/>
      <c r="I66" s="183"/>
      <c r="J66" s="183"/>
      <c r="K66" s="183"/>
      <c r="L66" s="184"/>
    </row>
    <row r="67" spans="1:12" ht="21" thickBot="1">
      <c r="A67" s="14"/>
      <c r="B67" s="197" t="s">
        <v>72</v>
      </c>
      <c r="C67" s="198"/>
      <c r="D67" s="217"/>
      <c r="E67" s="217"/>
      <c r="F67" s="217"/>
      <c r="G67" s="217"/>
      <c r="H67" s="217"/>
      <c r="I67" s="217"/>
      <c r="J67" s="217"/>
      <c r="K67" s="218"/>
      <c r="L67" s="15"/>
    </row>
    <row r="68" spans="1:12" ht="16.5" customHeight="1" thickBot="1">
      <c r="A68" s="93"/>
      <c r="B68" s="199" t="s">
        <v>73</v>
      </c>
      <c r="C68" s="222"/>
      <c r="D68" s="223"/>
      <c r="E68" s="223"/>
      <c r="F68" s="223"/>
      <c r="G68" s="223"/>
      <c r="H68" s="223"/>
      <c r="I68" s="223"/>
      <c r="J68" s="223"/>
      <c r="K68" s="224"/>
      <c r="L68" s="94"/>
    </row>
    <row r="69" spans="1:12" ht="15.75" customHeight="1">
      <c r="A69" s="21">
        <f>+IF(WEEKDAY(B69)=2,(skema!B69-par!$B$5+par!$K$6)/7+1,"")</f>
        <v>15</v>
      </c>
      <c r="B69" s="27">
        <f>+B66+IF(WEEKDAY(B66)=6,3,1)</f>
        <v>46118</v>
      </c>
      <c r="C69" s="48" t="s">
        <v>74</v>
      </c>
      <c r="D69" s="49"/>
      <c r="E69" s="50"/>
      <c r="F69" s="50"/>
      <c r="G69" s="51"/>
      <c r="H69" s="52"/>
      <c r="I69" s="48"/>
      <c r="J69" s="48"/>
      <c r="K69" s="48"/>
      <c r="L69" s="53"/>
    </row>
    <row r="70" spans="1:12" ht="15.75" customHeight="1">
      <c r="A70" s="22" t="str">
        <f>+IF(WEEKDAY(B70)=2,(skema!B70-par!$B$5+par!$K$6)/7+1,"")</f>
        <v/>
      </c>
      <c r="B70" s="28">
        <f>+B69+IF(WEEKDAY(B69)=6,3,1)</f>
        <v>46119</v>
      </c>
      <c r="C70" s="54" t="s">
        <v>75</v>
      </c>
      <c r="D70" s="55"/>
      <c r="E70" s="56"/>
      <c r="F70" s="56"/>
      <c r="G70" s="57"/>
      <c r="H70" s="58"/>
      <c r="I70" s="54"/>
      <c r="J70" s="54"/>
      <c r="K70" s="54"/>
      <c r="L70" s="59"/>
    </row>
    <row r="71" spans="1:12" ht="15.75" customHeight="1">
      <c r="A71" s="22" t="str">
        <f>+IF(WEEKDAY(B71)=2,(skema!B71-par!$B$5+par!$K$6)/7+1,"")</f>
        <v/>
      </c>
      <c r="B71" s="28">
        <f>+B70+IF(WEEKDAY(B70)=6,3,1)</f>
        <v>46120</v>
      </c>
      <c r="C71" s="54" t="s">
        <v>76</v>
      </c>
      <c r="D71" s="55"/>
      <c r="E71" s="56"/>
      <c r="F71" s="56"/>
      <c r="G71" s="57"/>
      <c r="H71" s="58"/>
      <c r="I71" s="54"/>
      <c r="J71" s="54"/>
      <c r="K71" s="54"/>
      <c r="L71" s="59" t="s">
        <v>77</v>
      </c>
    </row>
    <row r="72" spans="1:12" ht="15.75" customHeight="1">
      <c r="A72" s="22" t="str">
        <f>+IF(WEEKDAY(B72)=2,(skema!B72-par!$B$5+par!$K$6)/7+1,"")</f>
        <v/>
      </c>
      <c r="B72" s="28">
        <f>+B71+IF(WEEKDAY(B71)=6,3,1)</f>
        <v>46121</v>
      </c>
      <c r="C72" s="54" t="s">
        <v>78</v>
      </c>
      <c r="D72" s="55"/>
      <c r="E72" s="151"/>
      <c r="F72" s="151"/>
      <c r="G72" s="57" t="s">
        <v>17</v>
      </c>
      <c r="H72" s="58"/>
      <c r="I72" s="54"/>
      <c r="J72" s="54"/>
      <c r="K72" s="54"/>
      <c r="L72" s="59"/>
    </row>
    <row r="73" spans="1:12" ht="16.5" customHeight="1" thickBot="1">
      <c r="A73" s="23" t="str">
        <f>+IF(WEEKDAY(B73)=2,(skema!B73-par!$B$5+par!$K$6)/7+1,"")</f>
        <v/>
      </c>
      <c r="B73" s="29">
        <f>+B72+IF(WEEKDAY(B72)=6,3,1)</f>
        <v>46122</v>
      </c>
      <c r="C73" s="60" t="s">
        <v>79</v>
      </c>
      <c r="D73" s="61"/>
      <c r="E73" s="62"/>
      <c r="F73" s="62"/>
      <c r="G73" s="63"/>
      <c r="H73" s="64"/>
      <c r="I73" s="60"/>
      <c r="J73" s="60"/>
      <c r="K73" s="60"/>
      <c r="L73" s="65"/>
    </row>
    <row r="74" spans="1:12" ht="16.5" customHeight="1" thickBot="1">
      <c r="A74" s="21"/>
      <c r="B74" s="199" t="s">
        <v>80</v>
      </c>
      <c r="C74" s="222"/>
      <c r="D74" s="223"/>
      <c r="E74" s="223"/>
      <c r="F74" s="223"/>
      <c r="G74" s="223"/>
      <c r="H74" s="223"/>
      <c r="I74" s="223"/>
      <c r="J74" s="223"/>
      <c r="K74" s="224"/>
      <c r="L74" s="95"/>
    </row>
    <row r="75" spans="1:12" ht="15.75" customHeight="1">
      <c r="A75" s="21">
        <f>+IF(WEEKDAY(B75)=2,(skema!B75-par!$B$5+par!$K$6)/7+1,"")</f>
        <v>16</v>
      </c>
      <c r="B75" s="27">
        <f>+B73+IF(WEEKDAY(B73)=6,3,1)</f>
        <v>46125</v>
      </c>
      <c r="C75" s="48" t="s">
        <v>81</v>
      </c>
      <c r="D75" s="49"/>
      <c r="E75" s="50"/>
      <c r="F75" s="50"/>
      <c r="G75" s="51"/>
      <c r="H75" s="52"/>
      <c r="I75" s="48"/>
      <c r="J75" s="48"/>
      <c r="K75" s="48"/>
      <c r="L75" s="53" t="s">
        <v>82</v>
      </c>
    </row>
    <row r="76" spans="1:12" ht="15.75" customHeight="1">
      <c r="A76" s="22" t="str">
        <f>+IF(WEEKDAY(B76)=2,(skema!B76-par!$B$5+par!$K$6)/7+1,"")</f>
        <v/>
      </c>
      <c r="B76" s="28">
        <f>+B75+IF(WEEKDAY(B75)=6,3,1)</f>
        <v>46126</v>
      </c>
      <c r="C76" s="54" t="s">
        <v>79</v>
      </c>
      <c r="D76" s="55"/>
      <c r="E76" s="56"/>
      <c r="F76" s="56"/>
      <c r="G76" s="57"/>
      <c r="H76" s="58"/>
      <c r="I76" s="54"/>
      <c r="J76" s="54"/>
      <c r="K76" s="54"/>
      <c r="L76" s="59"/>
    </row>
    <row r="77" spans="1:12" ht="15.75" customHeight="1">
      <c r="A77" s="22" t="str">
        <f>+IF(WEEKDAY(B77)=2,(skema!B77-par!$B$5+par!$K$6)/7+1,"")</f>
        <v/>
      </c>
      <c r="B77" s="28">
        <f>+B76+IF(WEEKDAY(B76)=6,3,1)</f>
        <v>46127</v>
      </c>
      <c r="C77" s="54" t="s">
        <v>83</v>
      </c>
      <c r="D77" s="55"/>
      <c r="E77" s="56"/>
      <c r="F77" s="56"/>
      <c r="G77" s="57"/>
      <c r="H77" s="58"/>
      <c r="I77" s="54"/>
      <c r="J77" s="54"/>
      <c r="K77" s="54"/>
      <c r="L77" s="59" t="s">
        <v>15</v>
      </c>
    </row>
    <row r="78" spans="1:12" ht="15.75" customHeight="1">
      <c r="A78" s="22" t="str">
        <f>+IF(WEEKDAY(B78)=2,(skema!B78-par!$B$5+par!$K$6)/7+1,"")</f>
        <v/>
      </c>
      <c r="B78" s="28">
        <f>+B77+IF(WEEKDAY(B77)=6,3,1)</f>
        <v>46128</v>
      </c>
      <c r="C78" s="54" t="s">
        <v>84</v>
      </c>
      <c r="D78" s="55"/>
      <c r="E78" s="56"/>
      <c r="F78" s="56"/>
      <c r="G78" s="57" t="s">
        <v>17</v>
      </c>
      <c r="H78" s="58"/>
      <c r="I78" s="54"/>
      <c r="J78" s="54"/>
      <c r="K78" s="54"/>
      <c r="L78" s="59"/>
    </row>
    <row r="79" spans="1:12" ht="16.5" customHeight="1" thickBot="1">
      <c r="A79" s="23" t="str">
        <f>+IF(WEEKDAY(B79)=2,(skema!B79-par!$B$5+par!$K$6)/7+1,"")</f>
        <v/>
      </c>
      <c r="B79" s="29">
        <f>+B78+IF(WEEKDAY(B78)=6,3,1)</f>
        <v>46129</v>
      </c>
      <c r="C79" s="60" t="s">
        <v>79</v>
      </c>
      <c r="D79" s="61"/>
      <c r="E79" s="62"/>
      <c r="F79" s="62"/>
      <c r="G79" s="63"/>
      <c r="H79" s="64"/>
      <c r="I79" s="60"/>
      <c r="J79" s="60"/>
      <c r="K79" s="60"/>
      <c r="L79" s="65"/>
    </row>
    <row r="80" spans="1:12" ht="16.5" customHeight="1" thickBot="1">
      <c r="A80" s="21"/>
      <c r="B80" s="199" t="s">
        <v>80</v>
      </c>
      <c r="C80" s="222"/>
      <c r="D80" s="223"/>
      <c r="E80" s="223"/>
      <c r="F80" s="223"/>
      <c r="G80" s="223"/>
      <c r="H80" s="223"/>
      <c r="I80" s="223"/>
      <c r="J80" s="223"/>
      <c r="K80" s="224"/>
      <c r="L80" s="95"/>
    </row>
    <row r="81" spans="1:12" ht="15.75" customHeight="1">
      <c r="A81" s="21">
        <f>+IF(WEEKDAY(B81)=2,(skema!B81-par!$B$5+par!$K$6)/7+1,"")</f>
        <v>17</v>
      </c>
      <c r="B81" s="27">
        <f>+B79+IF(WEEKDAY(B79)=6,3,1)</f>
        <v>46132</v>
      </c>
      <c r="C81" s="48" t="s">
        <v>85</v>
      </c>
      <c r="D81" s="49"/>
      <c r="E81" s="50"/>
      <c r="F81" s="50"/>
      <c r="G81" s="51"/>
      <c r="H81" s="52"/>
      <c r="I81" s="48"/>
      <c r="J81" s="48"/>
      <c r="K81" s="48"/>
      <c r="L81" s="53"/>
    </row>
    <row r="82" spans="1:12" ht="15.75" customHeight="1">
      <c r="A82" s="22" t="str">
        <f>+IF(WEEKDAY(B82)=2,(skema!B82-par!$B$5+par!$K$6)/7+1,"")</f>
        <v/>
      </c>
      <c r="B82" s="28">
        <f t="shared" ref="B82:B92" si="0">+B81+IF(WEEKDAY(B81)=6,3,1)</f>
        <v>46133</v>
      </c>
      <c r="C82" s="54" t="s">
        <v>86</v>
      </c>
      <c r="D82" s="55"/>
      <c r="E82" s="56"/>
      <c r="F82" s="56"/>
      <c r="G82" s="57"/>
      <c r="H82" s="58"/>
      <c r="I82" s="54"/>
      <c r="J82" s="54"/>
      <c r="K82" s="54"/>
      <c r="L82" s="59"/>
    </row>
    <row r="83" spans="1:12" ht="15.75" customHeight="1">
      <c r="A83" s="22" t="str">
        <f>+IF(WEEKDAY(B83)=2,(skema!B83-par!$B$5+par!$K$6)/7+1,"")</f>
        <v/>
      </c>
      <c r="B83" s="28">
        <f t="shared" si="0"/>
        <v>46134</v>
      </c>
      <c r="C83" s="54" t="s">
        <v>79</v>
      </c>
      <c r="D83" s="55"/>
      <c r="E83" s="56"/>
      <c r="F83" s="56"/>
      <c r="G83" s="57"/>
      <c r="H83" s="58"/>
      <c r="I83" s="54"/>
      <c r="J83" s="54"/>
      <c r="K83" s="54"/>
      <c r="L83" s="59" t="s">
        <v>87</v>
      </c>
    </row>
    <row r="84" spans="1:12" ht="15.75" customHeight="1">
      <c r="A84" s="22" t="str">
        <f>+IF(WEEKDAY(B84)=2,(skema!B84-par!$B$5+par!$K$6)/7+1,"")</f>
        <v/>
      </c>
      <c r="B84" s="28">
        <f t="shared" si="0"/>
        <v>46135</v>
      </c>
      <c r="C84" s="54" t="s">
        <v>88</v>
      </c>
      <c r="D84" s="55"/>
      <c r="E84" s="56"/>
      <c r="F84" s="56"/>
      <c r="G84" s="57" t="s">
        <v>17</v>
      </c>
      <c r="H84" s="58"/>
      <c r="I84" s="54"/>
      <c r="J84" s="54"/>
      <c r="K84" s="54"/>
      <c r="L84" s="59"/>
    </row>
    <row r="85" spans="1:12" ht="17.100000000000001" thickBot="1">
      <c r="A85" s="23" t="str">
        <f>+IF(WEEKDAY(B85)=2,(skema!B85-par!$B$5+par!$K$6)/7+1,"")</f>
        <v/>
      </c>
      <c r="B85" s="29">
        <f t="shared" si="0"/>
        <v>46136</v>
      </c>
      <c r="C85" s="60" t="s">
        <v>89</v>
      </c>
      <c r="D85" s="61"/>
      <c r="E85" s="62"/>
      <c r="F85" s="62"/>
      <c r="G85" s="63"/>
      <c r="H85" s="64"/>
      <c r="I85" s="60"/>
      <c r="J85" s="60"/>
      <c r="K85" s="60"/>
      <c r="L85" s="65" t="s">
        <v>90</v>
      </c>
    </row>
    <row r="86" spans="1:12" ht="21" thickBot="1">
      <c r="A86" s="14"/>
      <c r="B86" s="197" t="s">
        <v>91</v>
      </c>
      <c r="C86" s="198"/>
      <c r="D86" s="217"/>
      <c r="E86" s="217"/>
      <c r="F86" s="217"/>
      <c r="G86" s="217"/>
      <c r="H86" s="217"/>
      <c r="I86" s="217"/>
      <c r="J86" s="217"/>
      <c r="K86" s="218"/>
      <c r="L86" s="15"/>
    </row>
    <row r="87" spans="1:12" ht="16.5" customHeight="1" thickBot="1">
      <c r="A87" s="96"/>
      <c r="B87" s="196" t="s">
        <v>92</v>
      </c>
      <c r="C87" s="225"/>
      <c r="D87" s="226"/>
      <c r="E87" s="226"/>
      <c r="F87" s="226"/>
      <c r="G87" s="226"/>
      <c r="H87" s="226"/>
      <c r="I87" s="226"/>
      <c r="J87" s="226"/>
      <c r="K87" s="227"/>
      <c r="L87" s="97"/>
    </row>
    <row r="88" spans="1:12" ht="15.95">
      <c r="A88" s="98">
        <f>+IF(WEEKDAY(B88)=2,(skema!B88-par!$B$5+par!$K$6)/7+1,"")</f>
        <v>18</v>
      </c>
      <c r="B88" s="99">
        <f>+B85+IF(WEEKDAY(B85)=6,3,1)</f>
        <v>46139</v>
      </c>
      <c r="C88" s="100" t="s">
        <v>93</v>
      </c>
      <c r="D88" s="101"/>
      <c r="E88" s="102"/>
      <c r="F88" s="102"/>
      <c r="G88" s="103"/>
      <c r="H88" s="104"/>
      <c r="I88" s="100"/>
      <c r="J88" s="100"/>
      <c r="K88" s="100"/>
      <c r="L88" s="105" t="s">
        <v>94</v>
      </c>
    </row>
    <row r="89" spans="1:12" ht="15.95">
      <c r="A89" s="106" t="str">
        <f>+IF(WEEKDAY(B89)=2,(skema!B89-par!$B$5+par!$K$6)/7+1,"")</f>
        <v/>
      </c>
      <c r="B89" s="107">
        <f t="shared" si="0"/>
        <v>46140</v>
      </c>
      <c r="C89" s="108" t="s">
        <v>95</v>
      </c>
      <c r="D89" s="109"/>
      <c r="E89" s="110"/>
      <c r="F89" s="110"/>
      <c r="G89" s="111"/>
      <c r="H89" s="112"/>
      <c r="I89" s="108"/>
      <c r="J89" s="108"/>
      <c r="K89" s="108"/>
      <c r="L89" s="113"/>
    </row>
    <row r="90" spans="1:12" ht="17.100000000000001">
      <c r="A90" s="106" t="str">
        <f>+IF(WEEKDAY(B90)=2,(skema!B90-par!$B$5+par!$K$6)/7+1,"")</f>
        <v/>
      </c>
      <c r="B90" s="107">
        <f t="shared" si="0"/>
        <v>46141</v>
      </c>
      <c r="C90" s="153" t="s">
        <v>96</v>
      </c>
      <c r="D90" s="109"/>
      <c r="E90" s="110"/>
      <c r="F90" s="110"/>
      <c r="G90" s="111"/>
      <c r="H90" s="112"/>
      <c r="I90" s="108"/>
      <c r="J90" s="108"/>
      <c r="K90" s="108"/>
      <c r="L90" s="113" t="s">
        <v>97</v>
      </c>
    </row>
    <row r="91" spans="1:12" ht="15.95">
      <c r="A91" s="106" t="str">
        <f>+IF(WEEKDAY(B91)=2,(skema!B91-par!$B$5+par!$K$6)/7+1,"")</f>
        <v/>
      </c>
      <c r="B91" s="107">
        <f t="shared" si="0"/>
        <v>46142</v>
      </c>
      <c r="C91" s="108" t="s">
        <v>98</v>
      </c>
      <c r="D91" s="109"/>
      <c r="E91" s="110"/>
      <c r="F91" s="110"/>
      <c r="G91" s="111" t="s">
        <v>17</v>
      </c>
      <c r="H91" s="112"/>
      <c r="I91" s="108"/>
      <c r="J91" s="108"/>
      <c r="K91" s="108"/>
      <c r="L91" s="113"/>
    </row>
    <row r="92" spans="1:12" ht="15.95">
      <c r="A92" s="114" t="str">
        <f>+IF(WEEKDAY(B92)=2,(skema!B92-par!$B$5+par!$K$6)/7+1,"")</f>
        <v/>
      </c>
      <c r="B92" s="115">
        <f t="shared" si="0"/>
        <v>46143</v>
      </c>
      <c r="C92" s="116" t="s">
        <v>99</v>
      </c>
      <c r="D92" s="117"/>
      <c r="E92" s="118"/>
      <c r="F92" s="118"/>
      <c r="G92" s="119"/>
      <c r="H92" s="120"/>
      <c r="I92" s="116"/>
      <c r="J92" s="116"/>
      <c r="K92" s="116"/>
      <c r="L92" s="121"/>
    </row>
    <row r="93" spans="1:12" ht="16.5" customHeight="1">
      <c r="A93" s="96"/>
      <c r="B93" s="196" t="s">
        <v>80</v>
      </c>
      <c r="C93" s="225"/>
      <c r="D93" s="226"/>
      <c r="E93" s="226"/>
      <c r="F93" s="226"/>
      <c r="G93" s="226"/>
      <c r="H93" s="226"/>
      <c r="I93" s="226"/>
      <c r="J93" s="226"/>
      <c r="K93" s="227"/>
      <c r="L93" s="97"/>
    </row>
    <row r="94" spans="1:12" ht="15.75" customHeight="1">
      <c r="A94" s="98">
        <f>+IF(WEEKDAY(B94)=2,(skema!B94-par!$B$5+par!$K$6)/7+1,"")</f>
        <v>19</v>
      </c>
      <c r="B94" s="99">
        <f>+B92+IF(WEEKDAY(B92)=6,3,1)</f>
        <v>46146</v>
      </c>
      <c r="C94" s="100" t="s">
        <v>100</v>
      </c>
      <c r="D94" s="101"/>
      <c r="E94" s="102"/>
      <c r="F94" s="102"/>
      <c r="G94" s="103"/>
      <c r="H94" s="104"/>
      <c r="I94" s="100"/>
      <c r="J94" s="100"/>
      <c r="K94" s="100"/>
      <c r="L94" s="105"/>
    </row>
    <row r="95" spans="1:12" ht="15.75" customHeight="1">
      <c r="A95" s="106" t="str">
        <f>+IF(WEEKDAY(B95)=2,(skema!B95-par!$B$5+par!$K$6)/7+1,"")</f>
        <v/>
      </c>
      <c r="B95" s="107">
        <f>+B94+IF(WEEKDAY(B94)=6,3,1)</f>
        <v>46147</v>
      </c>
      <c r="C95" s="108" t="s">
        <v>101</v>
      </c>
      <c r="D95" s="109"/>
      <c r="E95" s="110"/>
      <c r="F95" s="110"/>
      <c r="G95" s="111" t="s">
        <v>17</v>
      </c>
      <c r="H95" s="112"/>
      <c r="I95" s="108"/>
      <c r="J95" s="108"/>
      <c r="K95" s="108"/>
      <c r="L95" s="113"/>
    </row>
    <row r="96" spans="1:12" ht="15.75" customHeight="1">
      <c r="A96" s="106" t="str">
        <f>+IF(WEEKDAY(B96)=2,(skema!B96-par!$B$5+par!$K$6)/7+1,"")</f>
        <v/>
      </c>
      <c r="B96" s="107">
        <f>+B95+IF(WEEKDAY(B95)=6,3,1)</f>
        <v>46148</v>
      </c>
      <c r="C96" s="108" t="s">
        <v>102</v>
      </c>
      <c r="D96" s="109"/>
      <c r="E96" s="110"/>
      <c r="F96" s="110"/>
      <c r="G96" s="111"/>
      <c r="H96" s="112"/>
      <c r="I96" s="153"/>
      <c r="J96" s="108"/>
      <c r="K96" s="108"/>
      <c r="L96" s="113" t="s">
        <v>15</v>
      </c>
    </row>
    <row r="97" spans="1:12" ht="15.75" customHeight="1">
      <c r="A97" s="106" t="str">
        <f>+IF(WEEKDAY(B97)=2,(skema!B97-par!$B$5+par!$K$6)/7+1,"")</f>
        <v/>
      </c>
      <c r="B97" s="107">
        <f>+B96+IF(WEEKDAY(B96)=6,3,1)</f>
        <v>46149</v>
      </c>
      <c r="C97" s="108" t="s">
        <v>98</v>
      </c>
      <c r="D97" s="109"/>
      <c r="E97" s="110"/>
      <c r="F97" s="110"/>
      <c r="G97" s="111" t="s">
        <v>17</v>
      </c>
      <c r="H97" s="112"/>
      <c r="I97" s="108"/>
      <c r="J97" s="108"/>
      <c r="K97" s="108"/>
      <c r="L97" s="113"/>
    </row>
    <row r="98" spans="1:12" ht="16.5" customHeight="1" thickBot="1">
      <c r="A98" s="114" t="str">
        <f>+IF(WEEKDAY(B98)=2,(skema!B98-par!$B$5+par!$K$6)/7+1,"")</f>
        <v/>
      </c>
      <c r="B98" s="115">
        <f>+B97+IF(WEEKDAY(B97)=6,3,1)</f>
        <v>46150</v>
      </c>
      <c r="C98" s="116" t="s">
        <v>103</v>
      </c>
      <c r="D98" s="117"/>
      <c r="E98" s="118"/>
      <c r="F98" s="118"/>
      <c r="G98" s="119"/>
      <c r="H98" s="120"/>
      <c r="I98" s="116"/>
      <c r="J98" s="116"/>
      <c r="K98" s="116"/>
      <c r="L98" s="121"/>
    </row>
    <row r="99" spans="1:12" ht="16.5" customHeight="1" thickBot="1">
      <c r="A99" s="96"/>
      <c r="B99" s="196" t="s">
        <v>80</v>
      </c>
      <c r="C99" s="225"/>
      <c r="D99" s="226"/>
      <c r="E99" s="226"/>
      <c r="F99" s="226"/>
      <c r="G99" s="226"/>
      <c r="H99" s="226"/>
      <c r="I99" s="226"/>
      <c r="J99" s="226"/>
      <c r="K99" s="227"/>
      <c r="L99" s="97"/>
    </row>
    <row r="100" spans="1:12" ht="15.75" customHeight="1">
      <c r="A100" s="98">
        <f>+IF(WEEKDAY(B100)=2,(skema!B100-par!$B$5+par!$K$6)/7+1,"")</f>
        <v>20</v>
      </c>
      <c r="B100" s="99">
        <f>+B98+IF(WEEKDAY(B98)=6,3,1)</f>
        <v>46153</v>
      </c>
      <c r="C100" s="100" t="s">
        <v>103</v>
      </c>
      <c r="D100" s="101"/>
      <c r="E100" s="102"/>
      <c r="F100" s="102"/>
      <c r="G100" s="103"/>
      <c r="H100" s="104"/>
      <c r="I100" s="100"/>
      <c r="J100" s="100"/>
      <c r="K100" s="100"/>
      <c r="L100" s="105"/>
    </row>
    <row r="101" spans="1:12" ht="15.75" customHeight="1">
      <c r="A101" s="106" t="str">
        <f>+IF(WEEKDAY(B101)=2,(skema!B101-par!$B$5+par!$K$6)/7+1,"")</f>
        <v/>
      </c>
      <c r="B101" s="107">
        <f>+B100+IF(WEEKDAY(B100)=6,3,1)</f>
        <v>46154</v>
      </c>
      <c r="C101" s="108" t="s">
        <v>103</v>
      </c>
      <c r="D101" s="109"/>
      <c r="E101" s="110"/>
      <c r="F101" s="110"/>
      <c r="G101" s="111"/>
      <c r="H101" s="112"/>
      <c r="I101" s="108"/>
      <c r="J101" s="108"/>
      <c r="K101" s="108"/>
      <c r="L101" s="113"/>
    </row>
    <row r="102" spans="1:12" ht="15.75" customHeight="1">
      <c r="A102" s="106" t="str">
        <f>+IF(WEEKDAY(B102)=2,(skema!B102-par!$B$5+par!$K$6)/7+1,"")</f>
        <v/>
      </c>
      <c r="B102" s="107">
        <f>+B101+IF(WEEKDAY(B101)=6,3,1)</f>
        <v>46155</v>
      </c>
      <c r="C102" s="108" t="s">
        <v>102</v>
      </c>
      <c r="D102" s="109"/>
      <c r="E102" s="110"/>
      <c r="F102" s="110"/>
      <c r="G102" s="111"/>
      <c r="H102" s="112"/>
      <c r="I102" s="108"/>
      <c r="J102" s="108"/>
      <c r="K102" s="108"/>
      <c r="L102" s="113" t="s">
        <v>15</v>
      </c>
    </row>
    <row r="103" spans="1:12" ht="15.75" customHeight="1">
      <c r="A103" s="106" t="str">
        <f>+IF(WEEKDAY(B103)=2,(skema!B103-par!$B$5+par!$K$6)/7+1,"")</f>
        <v/>
      </c>
      <c r="B103" s="107">
        <f>+B102+IF(WEEKDAY(B102)=6,3,1)</f>
        <v>46156</v>
      </c>
      <c r="C103" s="108" t="s">
        <v>104</v>
      </c>
      <c r="D103" s="109"/>
      <c r="E103" s="110"/>
      <c r="F103" s="110"/>
      <c r="G103" s="111"/>
      <c r="H103" s="112"/>
      <c r="I103" s="108"/>
      <c r="J103" s="108"/>
      <c r="K103" s="108"/>
      <c r="L103" s="113"/>
    </row>
    <row r="104" spans="1:12" ht="16.5" customHeight="1" thickBot="1">
      <c r="A104" s="114" t="str">
        <f>+IF(WEEKDAY(B104)=2,(skema!B104-par!$B$5+par!$K$6)/7+1,"")</f>
        <v/>
      </c>
      <c r="B104" s="115">
        <f>+B103+IF(WEEKDAY(B103)=6,3,1)</f>
        <v>46157</v>
      </c>
      <c r="C104" s="116" t="s">
        <v>104</v>
      </c>
      <c r="D104" s="117"/>
      <c r="E104" s="118"/>
      <c r="F104" s="118"/>
      <c r="G104" s="119"/>
      <c r="H104" s="120"/>
      <c r="I104" s="116"/>
      <c r="J104" s="116"/>
      <c r="K104" s="116"/>
      <c r="L104" s="121"/>
    </row>
    <row r="105" spans="1:12" ht="16.5" customHeight="1" thickBot="1">
      <c r="A105" s="96"/>
      <c r="B105" s="196" t="s">
        <v>80</v>
      </c>
      <c r="C105" s="225"/>
      <c r="D105" s="226"/>
      <c r="E105" s="226"/>
      <c r="F105" s="226"/>
      <c r="G105" s="226"/>
      <c r="H105" s="226"/>
      <c r="I105" s="226"/>
      <c r="J105" s="226"/>
      <c r="K105" s="227"/>
      <c r="L105" s="97"/>
    </row>
    <row r="106" spans="1:12" ht="15.75" customHeight="1">
      <c r="A106" s="98">
        <f>+IF(WEEKDAY(B106)=2,(skema!B106-par!$B$5+par!$K$6)/7+1,"")</f>
        <v>21</v>
      </c>
      <c r="B106" s="99">
        <f>+B104+IF(WEEKDAY(B104)=6,3,1)</f>
        <v>46160</v>
      </c>
      <c r="C106" s="100" t="s">
        <v>105</v>
      </c>
      <c r="D106" s="101"/>
      <c r="E106" s="102"/>
      <c r="F106" s="102"/>
      <c r="G106" s="103"/>
      <c r="H106" s="104"/>
      <c r="I106" s="100"/>
      <c r="J106" s="100"/>
      <c r="K106" s="100"/>
      <c r="L106" s="122"/>
    </row>
    <row r="107" spans="1:12" ht="15.75" customHeight="1">
      <c r="A107" s="106" t="str">
        <f>+IF(WEEKDAY(B107)=2,(skema!B107-par!$B$5+par!$K$6)/7+1,"")</f>
        <v/>
      </c>
      <c r="B107" s="107">
        <f>+B106+IF(WEEKDAY(B106)=6,3,1)</f>
        <v>46161</v>
      </c>
      <c r="C107" s="108" t="s">
        <v>105</v>
      </c>
      <c r="D107" s="109"/>
      <c r="E107" s="110"/>
      <c r="F107" s="110"/>
      <c r="G107" s="111"/>
      <c r="H107" s="112"/>
      <c r="I107" s="108"/>
      <c r="J107" s="108"/>
      <c r="K107" s="108"/>
      <c r="L107" s="123"/>
    </row>
    <row r="108" spans="1:12" ht="15.75" customHeight="1">
      <c r="A108" s="106" t="str">
        <f>+IF(WEEKDAY(B108)=2,(skema!B108-par!$B$5+par!$K$6)/7+1,"")</f>
        <v/>
      </c>
      <c r="B108" s="107">
        <f>+B107+IF(WEEKDAY(B107)=6,3,1)</f>
        <v>46162</v>
      </c>
      <c r="C108" s="108" t="s">
        <v>102</v>
      </c>
      <c r="D108" s="109"/>
      <c r="E108" s="110"/>
      <c r="F108" s="110"/>
      <c r="G108" s="111"/>
      <c r="H108" s="112"/>
      <c r="I108" s="108"/>
      <c r="J108" s="108"/>
      <c r="K108" s="108"/>
      <c r="L108" s="113" t="s">
        <v>15</v>
      </c>
    </row>
    <row r="109" spans="1:12" ht="15.75" customHeight="1">
      <c r="A109" s="106" t="str">
        <f>+IF(WEEKDAY(B109)=2,(skema!B109-par!$B$5+par!$K$6)/7+1,"")</f>
        <v/>
      </c>
      <c r="B109" s="107">
        <f>+B108+IF(WEEKDAY(B108)=6,3,1)</f>
        <v>46163</v>
      </c>
      <c r="C109" s="108" t="s">
        <v>98</v>
      </c>
      <c r="D109" s="109"/>
      <c r="E109" s="110"/>
      <c r="F109" s="110"/>
      <c r="G109" s="111" t="s">
        <v>17</v>
      </c>
      <c r="H109" s="112"/>
      <c r="I109" s="108"/>
      <c r="J109" s="108"/>
      <c r="K109" s="108"/>
      <c r="L109" s="123"/>
    </row>
    <row r="110" spans="1:12" ht="16.5" customHeight="1" thickBot="1">
      <c r="A110" s="114" t="str">
        <f>+IF(WEEKDAY(B110)=2,(skema!B110-par!$B$5+par!$K$6)/7+1,"")</f>
        <v/>
      </c>
      <c r="B110" s="115">
        <f>+B109+IF(WEEKDAY(B109)=6,3,1)</f>
        <v>46164</v>
      </c>
      <c r="C110" s="116" t="s">
        <v>105</v>
      </c>
      <c r="D110" s="117"/>
      <c r="E110" s="118"/>
      <c r="F110" s="118"/>
      <c r="G110" s="119"/>
      <c r="H110" s="120"/>
      <c r="I110" s="116"/>
      <c r="J110" s="116"/>
      <c r="K110" s="116"/>
      <c r="L110" s="124"/>
    </row>
    <row r="111" spans="1:12" ht="16.5" customHeight="1" thickBot="1">
      <c r="A111" s="96"/>
      <c r="B111" s="196" t="s">
        <v>80</v>
      </c>
      <c r="C111" s="225"/>
      <c r="D111" s="226"/>
      <c r="E111" s="226"/>
      <c r="F111" s="226"/>
      <c r="G111" s="226"/>
      <c r="H111" s="226"/>
      <c r="I111" s="226"/>
      <c r="J111" s="226"/>
      <c r="K111" s="227"/>
      <c r="L111" s="97"/>
    </row>
    <row r="112" spans="1:12" ht="15.75" customHeight="1">
      <c r="A112" s="98">
        <f>+IF(WEEKDAY(B112)=2,(skema!B112-par!$B$5+par!$K$6)/7+1,"")</f>
        <v>22</v>
      </c>
      <c r="B112" s="99">
        <f>+B110+IF(WEEKDAY(B110)=6,3,1)</f>
        <v>46167</v>
      </c>
      <c r="C112" s="100" t="s">
        <v>105</v>
      </c>
      <c r="D112" s="101"/>
      <c r="E112" s="102"/>
      <c r="F112" s="102"/>
      <c r="G112" s="103"/>
      <c r="H112" s="104"/>
      <c r="I112" s="100"/>
      <c r="J112" s="100"/>
      <c r="K112" s="100"/>
      <c r="L112" s="105"/>
    </row>
    <row r="113" spans="1:12" ht="15.75" customHeight="1">
      <c r="A113" s="106" t="str">
        <f>+IF(WEEKDAY(B113)=2,(skema!B113-par!$B$5+par!$K$6)/7+1,"")</f>
        <v/>
      </c>
      <c r="B113" s="107">
        <f>+B112+IF(WEEKDAY(B112)=6,3,1)</f>
        <v>46168</v>
      </c>
      <c r="C113" s="108" t="s">
        <v>105</v>
      </c>
      <c r="D113" s="109"/>
      <c r="E113" s="110"/>
      <c r="F113" s="110"/>
      <c r="G113" s="111"/>
      <c r="H113" s="112"/>
      <c r="I113" s="108"/>
      <c r="J113" s="108"/>
      <c r="K113" s="108"/>
      <c r="L113" s="113"/>
    </row>
    <row r="114" spans="1:12" ht="15.75" customHeight="1">
      <c r="A114" s="106" t="str">
        <f>+IF(WEEKDAY(B114)=2,(skema!B114-par!$B$5+par!$K$6)/7+1,"")</f>
        <v/>
      </c>
      <c r="B114" s="107">
        <f>+B113+IF(WEEKDAY(B113)=6,3,1)</f>
        <v>46169</v>
      </c>
      <c r="C114" s="108" t="s">
        <v>106</v>
      </c>
      <c r="D114" s="109"/>
      <c r="E114" s="110"/>
      <c r="F114" s="110"/>
      <c r="G114" s="111"/>
      <c r="H114" s="112"/>
      <c r="I114" s="108"/>
      <c r="J114" s="108"/>
      <c r="K114" s="108"/>
      <c r="L114" s="113" t="s">
        <v>107</v>
      </c>
    </row>
    <row r="115" spans="1:12" ht="15.75" customHeight="1">
      <c r="A115" s="106" t="str">
        <f>+IF(WEEKDAY(B115)=2,(skema!B115-par!$B$5+par!$K$6)/7+1,"")</f>
        <v/>
      </c>
      <c r="B115" s="107">
        <f>+B114+IF(WEEKDAY(B114)=6,3,1)</f>
        <v>46170</v>
      </c>
      <c r="C115" s="108"/>
      <c r="D115" s="109"/>
      <c r="E115" s="110"/>
      <c r="F115" s="110"/>
      <c r="G115" s="111"/>
      <c r="H115" s="112"/>
      <c r="I115" s="108"/>
      <c r="J115" s="108"/>
      <c r="K115" s="108"/>
      <c r="L115" s="113"/>
    </row>
    <row r="116" spans="1:12" ht="15.75" customHeight="1" thickBot="1">
      <c r="A116" s="114" t="str">
        <f>+IF(WEEKDAY(B116)=2,(skema!B116-par!$B$5+par!$K$6)/7+1,"")</f>
        <v/>
      </c>
      <c r="B116" s="115">
        <f>+B115+IF(WEEKDAY(B115)=6,3,1)</f>
        <v>46171</v>
      </c>
      <c r="C116" s="116"/>
      <c r="D116" s="117"/>
      <c r="E116" s="118"/>
      <c r="F116" s="118"/>
      <c r="G116" s="119"/>
      <c r="H116" s="120"/>
      <c r="I116" s="155"/>
      <c r="J116" s="116"/>
      <c r="K116" s="116"/>
      <c r="L116" s="121"/>
    </row>
    <row r="117" spans="1:12" ht="15.75" hidden="1" customHeight="1" thickBot="1">
      <c r="A117" s="96"/>
      <c r="B117" s="196"/>
      <c r="C117" s="225"/>
      <c r="D117" s="226"/>
      <c r="E117" s="226"/>
      <c r="F117" s="226"/>
      <c r="G117" s="226"/>
      <c r="H117" s="226"/>
      <c r="I117" s="226"/>
      <c r="J117" s="226"/>
      <c r="K117" s="227"/>
      <c r="L117" s="97"/>
    </row>
    <row r="118" spans="1:12" ht="15.75" hidden="1" customHeight="1" thickBot="1">
      <c r="A118" s="98" t="e">
        <f>+IF(WEEKDAY(B118)=2,(skema!B118-par!$B$5+par!$K$6)/7+1,"")</f>
        <v>#REF!</v>
      </c>
      <c r="B118" s="99" t="e">
        <f>+#REF!+IF(WEEKDAY(#REF!)=6,3,1)</f>
        <v>#REF!</v>
      </c>
      <c r="C118" s="100"/>
      <c r="D118" s="101"/>
      <c r="E118" s="102"/>
      <c r="F118" s="102"/>
      <c r="G118" s="103"/>
      <c r="H118" s="104"/>
      <c r="I118" s="100"/>
      <c r="J118" s="100"/>
      <c r="K118" s="100"/>
      <c r="L118" s="105"/>
    </row>
    <row r="119" spans="1:12" ht="15.75" hidden="1" customHeight="1">
      <c r="A119" s="106" t="e">
        <f>+IF(WEEKDAY(B119)=2,(skema!B119-par!$B$5+par!$K$6)/7+1,"")</f>
        <v>#REF!</v>
      </c>
      <c r="B119" s="107" t="e">
        <f>+B118+IF(WEEKDAY(B118)=6,3,1)</f>
        <v>#REF!</v>
      </c>
      <c r="C119" s="108"/>
      <c r="D119" s="109"/>
      <c r="E119" s="110"/>
      <c r="F119" s="110"/>
      <c r="G119" s="111"/>
      <c r="H119" s="112"/>
      <c r="I119" s="108"/>
      <c r="J119" s="108"/>
      <c r="K119" s="108"/>
      <c r="L119" s="113"/>
    </row>
    <row r="120" spans="1:12" ht="15.75" hidden="1" customHeight="1">
      <c r="A120" s="106" t="e">
        <f>+IF(WEEKDAY(B120)=2,(skema!B120-par!$B$5+par!$K$6)/7+1,"")</f>
        <v>#REF!</v>
      </c>
      <c r="B120" s="107" t="e">
        <f>+B119+IF(WEEKDAY(B119)=6,3,1)</f>
        <v>#REF!</v>
      </c>
      <c r="C120" s="108"/>
      <c r="D120" s="109"/>
      <c r="E120" s="110"/>
      <c r="F120" s="110"/>
      <c r="G120" s="111"/>
      <c r="H120" s="112"/>
      <c r="I120" s="108"/>
      <c r="J120" s="108"/>
      <c r="K120" s="108"/>
      <c r="L120" s="113"/>
    </row>
    <row r="121" spans="1:12" ht="15.75" hidden="1" customHeight="1">
      <c r="A121" s="106" t="e">
        <f>+IF(WEEKDAY(B121)=2,(skema!B121-par!$B$5+par!$K$6)/7+1,"")</f>
        <v>#REF!</v>
      </c>
      <c r="B121" s="107" t="e">
        <f>+B120+IF(WEEKDAY(B120)=6,3,1)</f>
        <v>#REF!</v>
      </c>
      <c r="C121" s="108"/>
      <c r="D121" s="109"/>
      <c r="E121" s="110"/>
      <c r="F121" s="110"/>
      <c r="G121" s="111"/>
      <c r="H121" s="112"/>
      <c r="I121" s="108"/>
      <c r="J121" s="108"/>
      <c r="K121" s="108"/>
      <c r="L121" s="113"/>
    </row>
    <row r="122" spans="1:12" ht="16.5" hidden="1" customHeight="1" thickBot="1">
      <c r="A122" s="114" t="e">
        <f>+IF(WEEKDAY(B122)=2,(skema!B122-par!$B$5+par!$K$6)/7+1,"")</f>
        <v>#REF!</v>
      </c>
      <c r="B122" s="115" t="e">
        <f>+B121+IF(WEEKDAY(B121)=6,3,1)</f>
        <v>#REF!</v>
      </c>
      <c r="C122" s="116"/>
      <c r="D122" s="117"/>
      <c r="E122" s="118"/>
      <c r="F122" s="118"/>
      <c r="G122" s="119"/>
      <c r="H122" s="120"/>
      <c r="I122" s="116"/>
      <c r="J122" s="116"/>
      <c r="K122" s="116"/>
      <c r="L122" s="121"/>
    </row>
    <row r="123" spans="1:12" ht="13.5" customHeight="1" thickBot="1"/>
    <row r="124" spans="1:12" ht="15.75" customHeight="1" thickBot="1">
      <c r="B124" s="156"/>
      <c r="C124" s="156" t="str">
        <f>+par!J11</f>
        <v/>
      </c>
      <c r="D124" s="5">
        <f>+COUNTIF(D4:D122,"m")+COUNTIF(D4:D122,"e")</f>
        <v>0</v>
      </c>
      <c r="E124" s="6">
        <f>+COUNTIF(E4:E122,"m")+COUNTIF(E4:E122,"e")</f>
        <v>0</v>
      </c>
      <c r="F124" s="6">
        <f>+COUNTIF(F4:F122,"m")+COUNTIF(F4:F122,"e")</f>
        <v>0</v>
      </c>
      <c r="G124" s="8">
        <f>+COUNTIF(G4:G122,"m")+COUNTIF(G4:G122,"e")</f>
        <v>15</v>
      </c>
      <c r="H124" s="8">
        <f>+COUNTIF(H4:H122,"m")+COUNTIF(H4:H122,"e")</f>
        <v>0</v>
      </c>
      <c r="I124" s="8">
        <f>+COUNTIF(I4:I122,"m")+COUNTIF(I4:I122,"e")</f>
        <v>0</v>
      </c>
      <c r="J124" s="8">
        <f>+COUNTIF(J4:J122,"m")+COUNTIF(J4:J122,"e")</f>
        <v>0</v>
      </c>
      <c r="K124" s="8">
        <f>+COUNTIF(K4:K122,"m")+COUNTIF(K4:K122,"e")</f>
        <v>0</v>
      </c>
      <c r="L124" s="7" t="s">
        <v>108</v>
      </c>
    </row>
    <row r="125" spans="1:12" ht="12.75" customHeight="1">
      <c r="C125" s="156" t="str">
        <f>+par!J12</f>
        <v/>
      </c>
    </row>
    <row r="240" spans="1:12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</sheetData>
  <mergeCells count="31">
    <mergeCell ref="L1:L2"/>
    <mergeCell ref="H1:K1"/>
    <mergeCell ref="B29:K29"/>
    <mergeCell ref="B74:K74"/>
    <mergeCell ref="B3:K3"/>
    <mergeCell ref="B48:K48"/>
    <mergeCell ref="B10:K10"/>
    <mergeCell ref="B4:K4"/>
    <mergeCell ref="B17:K17"/>
    <mergeCell ref="B23:K23"/>
    <mergeCell ref="B16:K16"/>
    <mergeCell ref="B54:K54"/>
    <mergeCell ref="B61:K61"/>
    <mergeCell ref="B42:K42"/>
    <mergeCell ref="B36:K36"/>
    <mergeCell ref="A1:A2"/>
    <mergeCell ref="B1:B2"/>
    <mergeCell ref="C1:C2"/>
    <mergeCell ref="D1:G1"/>
    <mergeCell ref="B117:K117"/>
    <mergeCell ref="B99:K99"/>
    <mergeCell ref="B105:K105"/>
    <mergeCell ref="B93:K93"/>
    <mergeCell ref="B111:K111"/>
    <mergeCell ref="B86:K86"/>
    <mergeCell ref="B87:K87"/>
    <mergeCell ref="B80:K80"/>
    <mergeCell ref="B67:K67"/>
    <mergeCell ref="B35:K35"/>
    <mergeCell ref="B60:K60"/>
    <mergeCell ref="B68:K68"/>
  </mergeCells>
  <phoneticPr fontId="14" type="noConversion"/>
  <dataValidations disablePrompts="1" count="1">
    <dataValidation type="list" allowBlank="1" showInputMessage="1" showErrorMessage="1" sqref="B125 B138 B135 B133 B131 B127:B128" xr:uid="{00000000-0002-0000-0000-000000000000}">
      <formula1>Validatielijst</formula1>
    </dataValidation>
  </dataValidations>
  <pageMargins left="0.7" right="0.7" top="0.75" bottom="0.7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7"/>
  <sheetViews>
    <sheetView workbookViewId="0">
      <selection activeCell="K7" sqref="K7"/>
    </sheetView>
  </sheetViews>
  <sheetFormatPr defaultColWidth="8.85546875" defaultRowHeight="12.75" customHeight="1"/>
  <cols>
    <col min="1" max="1" width="11.42578125" customWidth="1"/>
    <col min="2" max="2" width="10.140625" customWidth="1"/>
  </cols>
  <sheetData>
    <row r="1" spans="1:11" ht="12.75" customHeight="1">
      <c r="A1" t="s">
        <v>109</v>
      </c>
      <c r="D1" s="157" t="s">
        <v>110</v>
      </c>
      <c r="H1" s="157" t="s">
        <v>111</v>
      </c>
      <c r="I1" t="s">
        <v>112</v>
      </c>
    </row>
    <row r="2" spans="1:11" ht="12.75" customHeight="1">
      <c r="H2">
        <f>+VLOOKUP(WEEKDAY(B5),I3:K9,3)</f>
        <v>3</v>
      </c>
      <c r="I2" t="s">
        <v>113</v>
      </c>
      <c r="J2" t="s">
        <v>114</v>
      </c>
      <c r="K2" t="s">
        <v>115</v>
      </c>
    </row>
    <row r="3" spans="1:11" ht="12.75" customHeight="1">
      <c r="I3">
        <v>1</v>
      </c>
      <c r="J3" t="s">
        <v>116</v>
      </c>
      <c r="K3">
        <v>-1</v>
      </c>
    </row>
    <row r="4" spans="1:11" ht="12.75" customHeight="1">
      <c r="A4" t="s">
        <v>117</v>
      </c>
      <c r="B4" s="4">
        <v>46048</v>
      </c>
      <c r="I4">
        <v>2</v>
      </c>
      <c r="J4" t="s">
        <v>118</v>
      </c>
      <c r="K4">
        <v>0</v>
      </c>
    </row>
    <row r="5" spans="1:11" ht="12.75" customHeight="1">
      <c r="B5" s="4">
        <v>46023</v>
      </c>
      <c r="I5">
        <v>3</v>
      </c>
      <c r="J5" t="s">
        <v>119</v>
      </c>
      <c r="K5">
        <v>1</v>
      </c>
    </row>
    <row r="6" spans="1:11" ht="12.75" customHeight="1">
      <c r="I6">
        <v>4</v>
      </c>
      <c r="J6" t="s">
        <v>120</v>
      </c>
      <c r="K6">
        <v>3</v>
      </c>
    </row>
    <row r="7" spans="1:11" ht="12.75" customHeight="1">
      <c r="D7" t="s">
        <v>17</v>
      </c>
      <c r="I7">
        <v>5</v>
      </c>
      <c r="J7" t="s">
        <v>121</v>
      </c>
      <c r="K7">
        <v>3</v>
      </c>
    </row>
    <row r="8" spans="1:11" ht="12.75" customHeight="1">
      <c r="I8">
        <v>6</v>
      </c>
      <c r="J8" t="s">
        <v>122</v>
      </c>
      <c r="K8">
        <v>-3</v>
      </c>
    </row>
    <row r="9" spans="1:11" ht="12.75" customHeight="1">
      <c r="A9" t="s">
        <v>123</v>
      </c>
      <c r="D9" t="s">
        <v>124</v>
      </c>
      <c r="I9">
        <v>7</v>
      </c>
      <c r="J9" t="s">
        <v>125</v>
      </c>
      <c r="K9">
        <v>-2</v>
      </c>
    </row>
    <row r="10" spans="1:11" ht="15.75" customHeight="1">
      <c r="A10" s="1"/>
    </row>
    <row r="11" spans="1:11" ht="15.75" customHeight="1">
      <c r="A11" s="1"/>
      <c r="I11" s="156">
        <f>+COUNTIF(skema!D4:K122,"m ")+COUNTIF(skema!D4:K122,"e ")</f>
        <v>0</v>
      </c>
      <c r="J11" s="156" t="str">
        <f>+IF(I11=0,"",CONCATENATE(I11," cells in columns D to K contain spaces!  "))</f>
        <v/>
      </c>
    </row>
    <row r="12" spans="1:11" ht="15.75" customHeight="1">
      <c r="A12" s="1"/>
      <c r="D12" t="s">
        <v>124</v>
      </c>
      <c r="J12" s="156" t="str">
        <f>+IF(I11=0,"","Remove spaces to obtain correct totals. ")</f>
        <v/>
      </c>
    </row>
    <row r="13" spans="1:11" ht="15.75" customHeight="1">
      <c r="A13" s="1"/>
      <c r="D13" t="s">
        <v>17</v>
      </c>
    </row>
    <row r="14" spans="1:11" ht="15.75" customHeight="1">
      <c r="A14" s="1"/>
    </row>
    <row r="15" spans="1:11" ht="15.75" customHeight="1">
      <c r="A15" s="1"/>
    </row>
    <row r="16" spans="1:11" ht="15.75" customHeight="1">
      <c r="A16" s="1"/>
    </row>
    <row r="17" spans="1:16" ht="15.75" customHeight="1">
      <c r="A17" s="1"/>
    </row>
    <row r="18" spans="1:16" ht="15.75" customHeight="1">
      <c r="A18" s="1"/>
      <c r="D18" t="s">
        <v>124</v>
      </c>
      <c r="P18" t="s">
        <v>126</v>
      </c>
    </row>
    <row r="19" spans="1:16" ht="12.75" customHeight="1">
      <c r="A19" s="2"/>
      <c r="D19" t="s">
        <v>17</v>
      </c>
      <c r="O19">
        <v>6</v>
      </c>
      <c r="P19" t="s">
        <v>127</v>
      </c>
    </row>
    <row r="20" spans="1:16" ht="12.75" customHeight="1">
      <c r="A20" s="2"/>
      <c r="O20">
        <v>7</v>
      </c>
      <c r="P20" t="s">
        <v>128</v>
      </c>
    </row>
    <row r="21" spans="1:16" ht="12.75" customHeight="1">
      <c r="A21" s="2"/>
      <c r="E21">
        <f>+Sheet3!C9</f>
        <v>0</v>
      </c>
      <c r="P21" t="s">
        <v>129</v>
      </c>
    </row>
    <row r="22" spans="1:16" ht="12.75" customHeight="1">
      <c r="A22" s="2"/>
      <c r="O22">
        <v>8</v>
      </c>
      <c r="P22" t="s">
        <v>130</v>
      </c>
    </row>
    <row r="23" spans="1:16" ht="12.75" customHeight="1">
      <c r="A23" s="2"/>
      <c r="O23">
        <v>9</v>
      </c>
      <c r="P23" t="s">
        <v>131</v>
      </c>
    </row>
    <row r="24" spans="1:16" ht="12.75" customHeight="1">
      <c r="A24" s="2"/>
      <c r="P24" t="s">
        <v>132</v>
      </c>
    </row>
    <row r="25" spans="1:16" ht="12.75" customHeight="1">
      <c r="A25" s="2"/>
      <c r="D25" t="s">
        <v>124</v>
      </c>
      <c r="O25">
        <v>10</v>
      </c>
      <c r="P25" t="s">
        <v>43</v>
      </c>
    </row>
    <row r="26" spans="1:16" ht="12.75" customHeight="1">
      <c r="O26">
        <v>11</v>
      </c>
      <c r="P26" t="s">
        <v>50</v>
      </c>
    </row>
    <row r="27" spans="1:16" ht="12.75" customHeight="1">
      <c r="O27">
        <v>12</v>
      </c>
      <c r="P27" t="s">
        <v>133</v>
      </c>
    </row>
    <row r="28" spans="1:16" ht="12.75" customHeight="1">
      <c r="P28" t="s">
        <v>72</v>
      </c>
    </row>
    <row r="29" spans="1:16" ht="12.75" customHeight="1">
      <c r="O29">
        <v>13</v>
      </c>
      <c r="P29" t="s">
        <v>73</v>
      </c>
    </row>
    <row r="30" spans="1:16" ht="12.75" customHeight="1">
      <c r="O30">
        <v>14</v>
      </c>
      <c r="P30" t="s">
        <v>134</v>
      </c>
    </row>
    <row r="31" spans="1:16" ht="12.75" customHeight="1">
      <c r="D31" t="s">
        <v>124</v>
      </c>
      <c r="O31">
        <v>15</v>
      </c>
      <c r="P31" t="s">
        <v>80</v>
      </c>
    </row>
    <row r="32" spans="1:16" ht="12.75" customHeight="1">
      <c r="P32" s="157" t="s">
        <v>135</v>
      </c>
    </row>
    <row r="33" spans="4:16" ht="12.75" customHeight="1">
      <c r="D33" t="s">
        <v>17</v>
      </c>
      <c r="O33">
        <v>16</v>
      </c>
      <c r="P33" t="s">
        <v>71</v>
      </c>
    </row>
    <row r="34" spans="4:16" ht="12.75" customHeight="1">
      <c r="P34" t="s">
        <v>91</v>
      </c>
    </row>
    <row r="35" spans="4:16" ht="12.75" customHeight="1">
      <c r="O35">
        <v>17</v>
      </c>
      <c r="P35" t="s">
        <v>136</v>
      </c>
    </row>
    <row r="36" spans="4:16" ht="12.75" customHeight="1">
      <c r="O36">
        <v>18</v>
      </c>
      <c r="P36" t="s">
        <v>80</v>
      </c>
    </row>
    <row r="37" spans="4:16" ht="12.75" customHeight="1">
      <c r="O37">
        <v>19</v>
      </c>
      <c r="P37" t="s">
        <v>80</v>
      </c>
    </row>
    <row r="38" spans="4:16" ht="12.75" customHeight="1">
      <c r="O38">
        <v>20</v>
      </c>
      <c r="P38" t="s">
        <v>80</v>
      </c>
    </row>
    <row r="39" spans="4:16" ht="12.75" customHeight="1">
      <c r="O39">
        <v>21</v>
      </c>
      <c r="P39" t="s">
        <v>80</v>
      </c>
    </row>
    <row r="40" spans="4:16" ht="12.75" customHeight="1">
      <c r="D40" t="s">
        <v>17</v>
      </c>
      <c r="O40">
        <v>22</v>
      </c>
      <c r="P40" t="s">
        <v>80</v>
      </c>
    </row>
    <row r="44" spans="4:16" ht="12.75" customHeight="1">
      <c r="D44" t="s">
        <v>124</v>
      </c>
    </row>
    <row r="46" spans="4:16" ht="12.75" customHeight="1">
      <c r="D46" t="s">
        <v>17</v>
      </c>
    </row>
    <row r="48" spans="4:16" ht="12.75" customHeight="1">
      <c r="D48" t="s">
        <v>124</v>
      </c>
    </row>
    <row r="57" spans="4:4" ht="12.75" customHeight="1">
      <c r="D57" t="s">
        <v>124</v>
      </c>
    </row>
    <row r="60" spans="4:4" ht="12.75" customHeight="1">
      <c r="D60" t="s">
        <v>17</v>
      </c>
    </row>
    <row r="67" spans="4:4" ht="12.75" customHeight="1">
      <c r="D67" t="s">
        <v>124</v>
      </c>
    </row>
    <row r="69" spans="4:4" ht="12.75" customHeight="1">
      <c r="D69" t="s">
        <v>124</v>
      </c>
    </row>
    <row r="89" spans="4:4" ht="12.75" customHeight="1">
      <c r="D89" t="s">
        <v>124</v>
      </c>
    </row>
    <row r="99" spans="4:4" ht="12.75" customHeight="1">
      <c r="D99" t="s">
        <v>124</v>
      </c>
    </row>
    <row r="101" spans="4:4" ht="12.75" customHeight="1">
      <c r="D101" t="s">
        <v>124</v>
      </c>
    </row>
    <row r="107" spans="4:4" ht="12.75" customHeight="1">
      <c r="D107" t="s">
        <v>124</v>
      </c>
    </row>
  </sheetData>
  <phoneticPr fontId="14" type="noConversion"/>
  <pageMargins left="0.7" right="0.7" top="0.75" bottom="0.75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CF12-5051-4844-B0F6-4B130AAEDF99}">
  <dimension ref="A1:O267"/>
  <sheetViews>
    <sheetView zoomScale="125" workbookViewId="0">
      <pane ySplit="2" topLeftCell="A58" activePane="bottomLeft" state="frozen"/>
      <selection pane="bottomLeft" activeCell="E124" sqref="E124"/>
      <selection activeCell="H12" sqref="H12"/>
    </sheetView>
  </sheetViews>
  <sheetFormatPr defaultColWidth="8.85546875" defaultRowHeight="12.75" customHeight="1"/>
  <cols>
    <col min="1" max="1" width="8.85546875" customWidth="1"/>
    <col min="2" max="2" width="18.85546875" customWidth="1"/>
    <col min="3" max="3" width="57.140625" customWidth="1"/>
    <col min="4" max="11" width="6.85546875" customWidth="1"/>
    <col min="12" max="12" width="52.85546875" customWidth="1"/>
  </cols>
  <sheetData>
    <row r="1" spans="1:15" ht="19.5" customHeight="1">
      <c r="A1" s="189" t="s">
        <v>0</v>
      </c>
      <c r="B1" s="189" t="s">
        <v>1</v>
      </c>
      <c r="C1" s="191" t="s">
        <v>2</v>
      </c>
      <c r="D1" s="193" t="s">
        <v>3</v>
      </c>
      <c r="E1" s="194"/>
      <c r="F1" s="194"/>
      <c r="G1" s="195"/>
      <c r="H1" s="203" t="s">
        <v>3</v>
      </c>
      <c r="I1" s="194"/>
      <c r="J1" s="194"/>
      <c r="K1" s="194"/>
      <c r="L1" s="201" t="s">
        <v>4</v>
      </c>
    </row>
    <row r="2" spans="1:15" ht="15.75" customHeight="1">
      <c r="A2" s="190"/>
      <c r="B2" s="190"/>
      <c r="C2" s="192"/>
      <c r="D2" s="12" t="s">
        <v>5</v>
      </c>
      <c r="E2" s="9" t="s">
        <v>6</v>
      </c>
      <c r="F2" s="9" t="s">
        <v>7</v>
      </c>
      <c r="G2" s="13" t="s">
        <v>8</v>
      </c>
      <c r="H2" s="11" t="s">
        <v>5</v>
      </c>
      <c r="I2" s="9" t="s">
        <v>6</v>
      </c>
      <c r="J2" s="9" t="s">
        <v>7</v>
      </c>
      <c r="K2" s="10" t="s">
        <v>8</v>
      </c>
      <c r="L2" s="202"/>
    </row>
    <row r="3" spans="1:15" ht="21" customHeight="1">
      <c r="A3" s="14"/>
      <c r="B3" s="197" t="s">
        <v>9</v>
      </c>
      <c r="C3" s="198"/>
      <c r="D3" s="198"/>
      <c r="E3" s="198"/>
      <c r="F3" s="198"/>
      <c r="G3" s="198"/>
      <c r="H3" s="198"/>
      <c r="I3" s="198"/>
      <c r="J3" s="198"/>
      <c r="K3" s="200"/>
      <c r="L3" s="15"/>
    </row>
    <row r="4" spans="1:15" ht="16.5" customHeight="1">
      <c r="A4" s="125"/>
      <c r="B4" s="206" t="s">
        <v>10</v>
      </c>
      <c r="C4" s="207"/>
      <c r="D4" s="207"/>
      <c r="E4" s="207"/>
      <c r="F4" s="207"/>
      <c r="G4" s="207"/>
      <c r="H4" s="207"/>
      <c r="I4" s="207"/>
      <c r="J4" s="207"/>
      <c r="K4" s="208"/>
      <c r="L4" s="126"/>
    </row>
    <row r="5" spans="1:15" ht="15.75" customHeight="1">
      <c r="A5" s="127">
        <f>+IF(WEEKDAY(B5)=2,(many!B5-par!$B$5+par!$K$6)/7+1,"")</f>
        <v>5</v>
      </c>
      <c r="B5" s="128">
        <f>+par!B4</f>
        <v>46048</v>
      </c>
      <c r="C5" s="132" t="s">
        <v>11</v>
      </c>
      <c r="D5" s="130"/>
      <c r="E5" s="131"/>
      <c r="F5" s="131"/>
      <c r="G5" s="132"/>
      <c r="H5" s="133"/>
      <c r="I5" s="129"/>
      <c r="J5" s="129"/>
      <c r="K5" s="129"/>
      <c r="L5" s="134" t="s">
        <v>12</v>
      </c>
    </row>
    <row r="6" spans="1:15" ht="15.75" customHeight="1">
      <c r="A6" s="135" t="str">
        <f>+IF(WEEKDAY(B6)=2,(many!B6-par!$B$5+par!$K$6)/7+1,"")</f>
        <v/>
      </c>
      <c r="B6" s="136">
        <f>+B5+IF(WEEKDAY(B5)=6,3,1)</f>
        <v>46049</v>
      </c>
      <c r="C6" s="140" t="s">
        <v>13</v>
      </c>
      <c r="D6" s="138"/>
      <c r="E6" s="139"/>
      <c r="F6" s="139"/>
      <c r="G6" s="140"/>
      <c r="H6" s="141"/>
      <c r="I6" s="137"/>
      <c r="J6" s="137"/>
      <c r="K6" s="137"/>
      <c r="L6" s="142"/>
    </row>
    <row r="7" spans="1:15" ht="15.75" customHeight="1">
      <c r="A7" s="135" t="str">
        <f>+IF(WEEKDAY(B7)=2,(many!B7-par!$B$5+par!$K$6)/7+1,"")</f>
        <v/>
      </c>
      <c r="B7" s="136">
        <f>+B6+IF(WEEKDAY(B6)=6,3,1)</f>
        <v>46050</v>
      </c>
      <c r="C7" s="140" t="s">
        <v>14</v>
      </c>
      <c r="D7" s="138"/>
      <c r="E7" s="139"/>
      <c r="F7" s="139"/>
      <c r="G7" s="140"/>
      <c r="H7" s="141"/>
      <c r="I7" s="137"/>
      <c r="J7" s="137"/>
      <c r="K7" s="137"/>
      <c r="L7" s="142" t="s">
        <v>15</v>
      </c>
    </row>
    <row r="8" spans="1:15" ht="15.75" customHeight="1">
      <c r="A8" s="135" t="str">
        <f>+IF(WEEKDAY(B8)=2,(many!B8-par!$B$5+par!$K$6)/7+1,"")</f>
        <v/>
      </c>
      <c r="B8" s="136">
        <f>+B7+IF(WEEKDAY(B7)=6,3,1)</f>
        <v>46051</v>
      </c>
      <c r="C8" s="140" t="s">
        <v>16</v>
      </c>
      <c r="D8" s="138"/>
      <c r="E8" s="139"/>
      <c r="F8" s="139"/>
      <c r="G8" s="140" t="s">
        <v>17</v>
      </c>
      <c r="H8" s="141"/>
      <c r="I8" s="137"/>
      <c r="J8" s="137"/>
      <c r="K8" s="137"/>
      <c r="L8" s="142"/>
    </row>
    <row r="9" spans="1:15" ht="15.75" customHeight="1">
      <c r="A9" s="143" t="str">
        <f>+IF(WEEKDAY(B9)=2,(many!B9-par!$B$5+par!$K$6)/7+1,"")</f>
        <v/>
      </c>
      <c r="B9" s="144">
        <f>+B8+IF(WEEKDAY(B8)=6,3,1)</f>
        <v>46052</v>
      </c>
      <c r="C9" s="148" t="s">
        <v>18</v>
      </c>
      <c r="D9" s="146"/>
      <c r="E9" s="147"/>
      <c r="F9" s="147"/>
      <c r="G9" s="148"/>
      <c r="H9" s="149"/>
      <c r="I9" s="145"/>
      <c r="J9" s="145"/>
      <c r="K9" s="145"/>
      <c r="L9" s="150"/>
      <c r="O9" s="152"/>
    </row>
    <row r="10" spans="1:15" ht="15.75" customHeight="1">
      <c r="A10" s="125"/>
      <c r="B10" s="206" t="s">
        <v>19</v>
      </c>
      <c r="C10" s="207"/>
      <c r="D10" s="207"/>
      <c r="E10" s="207"/>
      <c r="F10" s="207"/>
      <c r="G10" s="207"/>
      <c r="H10" s="207"/>
      <c r="I10" s="207"/>
      <c r="J10" s="207"/>
      <c r="K10" s="208"/>
      <c r="L10" s="126"/>
      <c r="O10" s="152"/>
    </row>
    <row r="11" spans="1:15" ht="15.75" customHeight="1">
      <c r="A11" s="135">
        <f>+IF(WEEKDAY(B11)=2,(many!B11-par!$B$5+par!$K$6)/7+1,"")</f>
        <v>6</v>
      </c>
      <c r="B11" s="128">
        <f>+B9+IF(WEEKDAY(B9)=6,3,1)</f>
        <v>46055</v>
      </c>
      <c r="C11" s="132" t="s">
        <v>20</v>
      </c>
      <c r="D11" s="130"/>
      <c r="E11" s="131" t="s">
        <v>137</v>
      </c>
      <c r="F11" s="131"/>
      <c r="G11" s="132"/>
      <c r="H11" s="133"/>
      <c r="I11" s="129" t="s">
        <v>137</v>
      </c>
      <c r="J11" s="129"/>
      <c r="K11" s="129"/>
      <c r="L11" s="134"/>
      <c r="O11" s="152"/>
    </row>
    <row r="12" spans="1:15" ht="15.75" customHeight="1">
      <c r="A12" s="135" t="str">
        <f>+IF(WEEKDAY(B12)=2,(many!B12-par!$B$5+par!$K$6)/7+1,"")</f>
        <v/>
      </c>
      <c r="B12" s="136">
        <f>+B11+IF(WEEKDAY(B11)=6,3,1)</f>
        <v>46056</v>
      </c>
      <c r="C12" s="140" t="s">
        <v>21</v>
      </c>
      <c r="D12" s="138"/>
      <c r="E12" s="139"/>
      <c r="F12" s="139"/>
      <c r="G12" s="140"/>
      <c r="H12" s="141"/>
      <c r="I12" s="137"/>
      <c r="J12" s="137"/>
      <c r="K12" s="137"/>
      <c r="L12" s="142" t="s">
        <v>22</v>
      </c>
      <c r="O12" s="152"/>
    </row>
    <row r="13" spans="1:15" ht="15.75" customHeight="1">
      <c r="A13" s="135" t="str">
        <f>+IF(WEEKDAY(B13)=2,(many!B13-par!$B$5+par!$K$6)/7+1,"")</f>
        <v/>
      </c>
      <c r="B13" s="136">
        <f>+B12+IF(WEEKDAY(B12)=6,3,1)</f>
        <v>46057</v>
      </c>
      <c r="C13" s="140" t="s">
        <v>14</v>
      </c>
      <c r="D13" s="138"/>
      <c r="E13" s="139"/>
      <c r="F13" s="139"/>
      <c r="G13" s="140"/>
      <c r="H13" s="141"/>
      <c r="I13" s="137" t="s">
        <v>137</v>
      </c>
      <c r="J13" s="137"/>
      <c r="K13" s="137"/>
      <c r="L13" s="142" t="s">
        <v>23</v>
      </c>
      <c r="O13" s="152"/>
    </row>
    <row r="14" spans="1:15" ht="15.75" customHeight="1">
      <c r="A14" s="135" t="str">
        <f>+IF(WEEKDAY(B14)=2,(many!B14-par!$B$5+par!$K$6)/7+1,"")</f>
        <v/>
      </c>
      <c r="B14" s="136">
        <f>+B13+IF(WEEKDAY(B13)=6,3,1)</f>
        <v>46058</v>
      </c>
      <c r="C14" s="140" t="s">
        <v>16</v>
      </c>
      <c r="D14" s="138"/>
      <c r="E14" s="139"/>
      <c r="F14" s="139"/>
      <c r="G14" s="140" t="s">
        <v>17</v>
      </c>
      <c r="H14" s="141"/>
      <c r="I14" s="137"/>
      <c r="J14" s="137"/>
      <c r="K14" s="137"/>
      <c r="L14" s="142"/>
      <c r="O14" s="152"/>
    </row>
    <row r="15" spans="1:15" ht="15.75" customHeight="1">
      <c r="A15" s="143" t="str">
        <f>+IF(WEEKDAY(B15)=2,(many!B15-par!$B$5+par!$K$6)/7+1,"")</f>
        <v/>
      </c>
      <c r="B15" s="144">
        <f>+B14+IF(WEEKDAY(B14)=6,3,1)</f>
        <v>46059</v>
      </c>
      <c r="C15" s="148" t="s">
        <v>24</v>
      </c>
      <c r="D15" s="146"/>
      <c r="E15" s="147"/>
      <c r="F15" s="147"/>
      <c r="G15" s="148"/>
      <c r="H15" s="149"/>
      <c r="I15" s="145"/>
      <c r="J15" s="145"/>
      <c r="K15" s="145"/>
      <c r="L15" s="150"/>
      <c r="O15" s="152"/>
    </row>
    <row r="16" spans="1:15" ht="21" customHeight="1">
      <c r="A16" s="14"/>
      <c r="B16" s="197" t="s">
        <v>25</v>
      </c>
      <c r="C16" s="198"/>
      <c r="D16" s="198"/>
      <c r="E16" s="198"/>
      <c r="F16" s="198"/>
      <c r="G16" s="198"/>
      <c r="H16" s="198"/>
      <c r="I16" s="198"/>
      <c r="J16" s="198"/>
      <c r="K16" s="200"/>
      <c r="L16" s="15"/>
    </row>
    <row r="17" spans="1:12" ht="16.5" customHeight="1">
      <c r="A17" s="18"/>
      <c r="B17" s="204" t="s">
        <v>26</v>
      </c>
      <c r="C17" s="209"/>
      <c r="D17" s="209"/>
      <c r="E17" s="209"/>
      <c r="F17" s="209"/>
      <c r="G17" s="209"/>
      <c r="H17" s="209"/>
      <c r="I17" s="209"/>
      <c r="J17" s="209"/>
      <c r="K17" s="210"/>
      <c r="L17" s="16"/>
    </row>
    <row r="18" spans="1:12" ht="15.75" customHeight="1">
      <c r="A18" s="18">
        <f>+IF(WEEKDAY(B18)=2,(many!B18-par!$B$5+par!$K$6)/7+1,"")</f>
        <v>7</v>
      </c>
      <c r="B18" s="25">
        <f>+B15+IF(WEEKDAY(B15)=6,3,1)</f>
        <v>46062</v>
      </c>
      <c r="C18" s="30" t="s">
        <v>27</v>
      </c>
      <c r="D18" s="31"/>
      <c r="E18" s="32"/>
      <c r="F18" s="32"/>
      <c r="G18" s="33"/>
      <c r="H18" s="34"/>
      <c r="I18" s="30"/>
      <c r="J18" s="30"/>
      <c r="K18" s="30"/>
      <c r="L18" s="35" t="s">
        <v>28</v>
      </c>
    </row>
    <row r="19" spans="1:12" ht="15.75" customHeight="1">
      <c r="A19" s="19" t="str">
        <f>+IF(WEEKDAY(B19)=2,(many!B19-par!$B$5+par!$K$6)/7+1,"")</f>
        <v/>
      </c>
      <c r="B19" s="25">
        <f>+B18+IF(WEEKDAY(B18)=6,3,1)</f>
        <v>46063</v>
      </c>
      <c r="C19" s="158" t="s">
        <v>29</v>
      </c>
      <c r="D19" s="37"/>
      <c r="E19" s="38"/>
      <c r="F19" s="38"/>
      <c r="G19" s="39"/>
      <c r="H19" s="40"/>
      <c r="I19" s="36"/>
      <c r="J19" s="36"/>
      <c r="K19" s="36"/>
      <c r="L19" s="41" t="s">
        <v>30</v>
      </c>
    </row>
    <row r="20" spans="1:12" ht="15.75" customHeight="1">
      <c r="A20" s="19" t="str">
        <f>+IF(WEEKDAY(B20)=2,(many!B20-par!$B$5+par!$K$6)/7+1,"")</f>
        <v/>
      </c>
      <c r="B20" s="25">
        <f>+B19+IF(WEEKDAY(B19)=6,3,1)</f>
        <v>46064</v>
      </c>
      <c r="C20" s="158" t="s">
        <v>31</v>
      </c>
      <c r="D20" s="37"/>
      <c r="E20" s="38"/>
      <c r="F20" s="38"/>
      <c r="G20" s="39"/>
      <c r="H20" s="40"/>
      <c r="I20" s="36" t="s">
        <v>137</v>
      </c>
      <c r="J20" s="36"/>
      <c r="K20" s="36"/>
      <c r="L20" s="41" t="s">
        <v>15</v>
      </c>
    </row>
    <row r="21" spans="1:12" ht="15.75" customHeight="1">
      <c r="A21" s="19" t="str">
        <f>+IF(WEEKDAY(B21)=2,(many!B21-par!$B$5+par!$K$6)/7+1,"")</f>
        <v/>
      </c>
      <c r="B21" s="25">
        <f>+B20+IF(WEEKDAY(B20)=6,3,1)</f>
        <v>46065</v>
      </c>
      <c r="C21" s="158" t="s">
        <v>16</v>
      </c>
      <c r="D21" s="37"/>
      <c r="E21" s="38"/>
      <c r="F21" s="38"/>
      <c r="G21" s="39" t="s">
        <v>17</v>
      </c>
      <c r="H21" s="40"/>
      <c r="I21" s="36"/>
      <c r="J21" s="36"/>
      <c r="K21" s="36"/>
      <c r="L21" s="41"/>
    </row>
    <row r="22" spans="1:12" ht="16.5" customHeight="1">
      <c r="A22" s="20" t="str">
        <f>+IF(WEEKDAY(B22)=2,(many!B22-par!$B$5+par!$K$6)/7+1,"")</f>
        <v/>
      </c>
      <c r="B22" s="26">
        <f>+B21+IF(WEEKDAY(B21)=6,3,1)</f>
        <v>46066</v>
      </c>
      <c r="C22" s="159" t="s">
        <v>32</v>
      </c>
      <c r="D22" s="43"/>
      <c r="E22" s="44"/>
      <c r="F22" s="44"/>
      <c r="G22" s="45"/>
      <c r="H22" s="46"/>
      <c r="I22" s="42"/>
      <c r="J22" s="42"/>
      <c r="K22" s="42"/>
      <c r="L22" s="47"/>
    </row>
    <row r="23" spans="1:12" ht="16.5" customHeight="1">
      <c r="A23" s="18"/>
      <c r="B23" s="204" t="s">
        <v>33</v>
      </c>
      <c r="C23" s="209"/>
      <c r="D23" s="209"/>
      <c r="E23" s="209"/>
      <c r="F23" s="209"/>
      <c r="G23" s="209"/>
      <c r="H23" s="209"/>
      <c r="I23" s="209"/>
      <c r="J23" s="209"/>
      <c r="K23" s="210"/>
      <c r="L23" s="17"/>
    </row>
    <row r="24" spans="1:12" ht="15.75" customHeight="1">
      <c r="A24" s="18">
        <f>+IF(WEEKDAY(B24)=2,(many!B24-par!$B$5+par!$K$6)/7+1,"")</f>
        <v>8</v>
      </c>
      <c r="B24" s="24">
        <f>+B22+IF(WEEKDAY(B22)=6,3,1)</f>
        <v>46069</v>
      </c>
      <c r="C24" s="30" t="s">
        <v>34</v>
      </c>
      <c r="D24" s="31"/>
      <c r="E24" s="32" t="s">
        <v>137</v>
      </c>
      <c r="F24" s="32"/>
      <c r="G24" s="33"/>
      <c r="H24" s="34"/>
      <c r="I24" s="30" t="s">
        <v>137</v>
      </c>
      <c r="J24" s="30"/>
      <c r="K24" s="30"/>
      <c r="L24" s="35"/>
    </row>
    <row r="25" spans="1:12" ht="15.75" customHeight="1">
      <c r="A25" s="19" t="str">
        <f>+IF(WEEKDAY(B25)=2,(many!B25-par!$B$5+par!$K$6)/7+1,"")</f>
        <v/>
      </c>
      <c r="B25" s="25">
        <f>+B24+IF(WEEKDAY(B24)=6,3,1)</f>
        <v>46070</v>
      </c>
      <c r="C25" s="36" t="s">
        <v>35</v>
      </c>
      <c r="D25" s="37"/>
      <c r="E25" s="38"/>
      <c r="F25" s="38"/>
      <c r="G25" s="39"/>
      <c r="H25" s="40"/>
      <c r="I25" s="36"/>
      <c r="J25" s="36"/>
      <c r="K25" s="36"/>
      <c r="L25" s="41"/>
    </row>
    <row r="26" spans="1:12" ht="15.75" customHeight="1">
      <c r="A26" s="19" t="str">
        <f>+IF(WEEKDAY(B26)=2,(many!B26-par!$B$5+par!$K$6)/7+1,"")</f>
        <v/>
      </c>
      <c r="B26" s="25">
        <f>+B25+IF(WEEKDAY(B25)=6,3,1)</f>
        <v>46071</v>
      </c>
      <c r="C26" s="36" t="s">
        <v>31</v>
      </c>
      <c r="D26" s="37"/>
      <c r="E26" s="154"/>
      <c r="F26" s="38"/>
      <c r="G26" s="39"/>
      <c r="H26" s="40"/>
      <c r="I26" s="36" t="s">
        <v>137</v>
      </c>
      <c r="J26" s="36"/>
      <c r="K26" s="36"/>
      <c r="L26" s="41" t="s">
        <v>15</v>
      </c>
    </row>
    <row r="27" spans="1:12" ht="15.75" customHeight="1">
      <c r="A27" s="19" t="str">
        <f>+IF(WEEKDAY(B27)=2,(many!B27-par!$B$5+par!$K$6)/7+1,"")</f>
        <v/>
      </c>
      <c r="B27" s="25">
        <f>+B26+IF(WEEKDAY(B26)=6,3,1)</f>
        <v>46072</v>
      </c>
      <c r="C27" s="36" t="s">
        <v>16</v>
      </c>
      <c r="D27" s="37"/>
      <c r="E27" s="38"/>
      <c r="F27" s="38"/>
      <c r="G27" s="39" t="s">
        <v>17</v>
      </c>
      <c r="H27" s="40"/>
      <c r="I27" s="36"/>
      <c r="J27" s="36"/>
      <c r="K27" s="36"/>
      <c r="L27" s="41"/>
    </row>
    <row r="28" spans="1:12" ht="16.5" customHeight="1">
      <c r="A28" s="20" t="str">
        <f>+IF(WEEKDAY(B28)=2,(many!B28-par!$B$5+par!$K$6)/7+1,"")</f>
        <v/>
      </c>
      <c r="B28" s="26">
        <f>+B27+IF(WEEKDAY(B27)=6,3,1)</f>
        <v>46073</v>
      </c>
      <c r="C28" s="42" t="s">
        <v>36</v>
      </c>
      <c r="D28" s="43"/>
      <c r="E28" s="44"/>
      <c r="F28" s="44"/>
      <c r="G28" s="45"/>
      <c r="H28" s="46"/>
      <c r="I28" s="42"/>
      <c r="J28" s="42"/>
      <c r="K28" s="42"/>
      <c r="L28" s="47"/>
    </row>
    <row r="29" spans="1:12" ht="16.5" customHeight="1">
      <c r="A29" s="18"/>
      <c r="B29" s="204" t="s">
        <v>37</v>
      </c>
      <c r="C29" s="214"/>
      <c r="D29" s="215"/>
      <c r="E29" s="215"/>
      <c r="F29" s="215"/>
      <c r="G29" s="215"/>
      <c r="H29" s="215"/>
      <c r="I29" s="215"/>
      <c r="J29" s="215"/>
      <c r="K29" s="216"/>
      <c r="L29" s="16"/>
    </row>
    <row r="30" spans="1:12" ht="15.75" customHeight="1">
      <c r="A30" s="18">
        <f>+IF(WEEKDAY(B30)=2,(many!B30-par!$B$5+par!$K$6)/7+1,"")</f>
        <v>9</v>
      </c>
      <c r="B30" s="24">
        <f>+B28+IF(WEEKDAY(B28)=6,3,1)</f>
        <v>46076</v>
      </c>
      <c r="C30" s="30" t="s">
        <v>38</v>
      </c>
      <c r="D30" s="31"/>
      <c r="E30" s="32" t="s">
        <v>137</v>
      </c>
      <c r="F30" s="32"/>
      <c r="G30" s="33"/>
      <c r="H30" s="34"/>
      <c r="I30" s="30" t="s">
        <v>137</v>
      </c>
      <c r="J30" s="30"/>
      <c r="K30" s="30"/>
      <c r="L30" s="35"/>
    </row>
    <row r="31" spans="1:12" ht="15.75" customHeight="1">
      <c r="A31" s="19" t="str">
        <f>+IF(WEEKDAY(B31)=2,(many!B31-par!$B$5+par!$K$6)/7+1,"")</f>
        <v/>
      </c>
      <c r="B31" s="25">
        <f>+B30+IF(WEEKDAY(B30)=6,3,1)</f>
        <v>46077</v>
      </c>
      <c r="C31" s="36" t="s">
        <v>39</v>
      </c>
      <c r="D31" s="37"/>
      <c r="E31" s="38" t="s">
        <v>137</v>
      </c>
      <c r="F31" s="38"/>
      <c r="G31" s="39"/>
      <c r="H31" s="40"/>
      <c r="I31" s="36" t="s">
        <v>137</v>
      </c>
      <c r="J31" s="36"/>
      <c r="K31" s="36"/>
      <c r="L31" s="41"/>
    </row>
    <row r="32" spans="1:12" ht="15.75" customHeight="1">
      <c r="A32" s="19" t="str">
        <f>+IF(WEEKDAY(B32)=2,(many!B32-par!$B$5+par!$K$6)/7+1,"")</f>
        <v/>
      </c>
      <c r="B32" s="25">
        <f>+B31+IF(WEEKDAY(B31)=6,3,1)</f>
        <v>46078</v>
      </c>
      <c r="C32" s="36" t="s">
        <v>31</v>
      </c>
      <c r="D32" s="37"/>
      <c r="E32" s="38"/>
      <c r="F32" s="38"/>
      <c r="G32" s="39"/>
      <c r="H32" s="40"/>
      <c r="I32" s="36" t="s">
        <v>137</v>
      </c>
      <c r="J32" s="36"/>
      <c r="K32" s="36"/>
      <c r="L32" s="41" t="s">
        <v>40</v>
      </c>
    </row>
    <row r="33" spans="1:12" ht="15.75" customHeight="1">
      <c r="A33" s="19" t="str">
        <f>+IF(WEEKDAY(B33)=2,(many!B33-par!$B$5+par!$K$6)/7+1,"")</f>
        <v/>
      </c>
      <c r="B33" s="25">
        <f>+B32+IF(WEEKDAY(B32)=6,3,1)</f>
        <v>46079</v>
      </c>
      <c r="C33" s="36" t="s">
        <v>16</v>
      </c>
      <c r="D33" s="37"/>
      <c r="E33" s="38"/>
      <c r="F33" s="38"/>
      <c r="G33" s="39" t="s">
        <v>17</v>
      </c>
      <c r="H33" s="40"/>
      <c r="I33" s="36"/>
      <c r="J33" s="36"/>
      <c r="K33" s="36"/>
      <c r="L33" s="41"/>
    </row>
    <row r="34" spans="1:12" ht="16.5" customHeight="1">
      <c r="A34" s="20" t="str">
        <f>+IF(WEEKDAY(B34)=2,(many!B34-par!$B$5+par!$K$6)/7+1,"")</f>
        <v/>
      </c>
      <c r="B34" s="26">
        <f>+B33+IF(WEEKDAY(B33)=6,3,1)</f>
        <v>46080</v>
      </c>
      <c r="C34" s="42" t="s">
        <v>41</v>
      </c>
      <c r="D34" s="43"/>
      <c r="E34" s="44"/>
      <c r="F34" s="44"/>
      <c r="G34" s="45"/>
      <c r="H34" s="46"/>
      <c r="I34" s="42"/>
      <c r="J34" s="42"/>
      <c r="K34" s="42"/>
      <c r="L34" s="47"/>
    </row>
    <row r="35" spans="1:12" ht="21" customHeight="1">
      <c r="A35" s="14"/>
      <c r="B35" s="197" t="s">
        <v>42</v>
      </c>
      <c r="C35" s="198"/>
      <c r="D35" s="217"/>
      <c r="E35" s="217"/>
      <c r="F35" s="217"/>
      <c r="G35" s="217"/>
      <c r="H35" s="217"/>
      <c r="I35" s="217"/>
      <c r="J35" s="217"/>
      <c r="K35" s="218"/>
      <c r="L35" s="15"/>
    </row>
    <row r="36" spans="1:12" ht="16.5" customHeight="1">
      <c r="A36" s="66"/>
      <c r="B36" s="205" t="s">
        <v>43</v>
      </c>
      <c r="C36" s="219"/>
      <c r="D36" s="220"/>
      <c r="E36" s="220"/>
      <c r="F36" s="220"/>
      <c r="G36" s="220"/>
      <c r="H36" s="220"/>
      <c r="I36" s="220"/>
      <c r="J36" s="220"/>
      <c r="K36" s="221"/>
      <c r="L36" s="67"/>
    </row>
    <row r="37" spans="1:12" ht="15.75" customHeight="1">
      <c r="A37" s="68">
        <f>+IF(WEEKDAY(B37)=2,(many!B37-par!$B$5+par!$K$6)/7+1,"")</f>
        <v>10</v>
      </c>
      <c r="B37" s="69">
        <f>+B34+IF(WEEKDAY(B34)=6,3,1)</f>
        <v>46083</v>
      </c>
      <c r="C37" s="70" t="s">
        <v>44</v>
      </c>
      <c r="D37" s="71"/>
      <c r="E37" s="72" t="s">
        <v>137</v>
      </c>
      <c r="F37" s="72"/>
      <c r="G37" s="73"/>
      <c r="H37" s="74"/>
      <c r="I37" s="70" t="s">
        <v>137</v>
      </c>
      <c r="J37" s="70"/>
      <c r="K37" s="70"/>
      <c r="L37" s="90" t="s">
        <v>45</v>
      </c>
    </row>
    <row r="38" spans="1:12" ht="15.75" customHeight="1">
      <c r="A38" s="75" t="str">
        <f>+IF(WEEKDAY(B38)=2,(many!B38-par!$B$5+par!$K$6)/7+1,"")</f>
        <v/>
      </c>
      <c r="B38" s="76">
        <f>+B37+IF(WEEKDAY(B37)=6,3,1)</f>
        <v>46084</v>
      </c>
      <c r="C38" s="77" t="s">
        <v>46</v>
      </c>
      <c r="D38" s="78"/>
      <c r="E38" s="79"/>
      <c r="F38" s="79"/>
      <c r="G38" s="80"/>
      <c r="H38" s="81"/>
      <c r="I38" s="77"/>
      <c r="J38" s="77"/>
      <c r="K38" s="77"/>
      <c r="L38" s="91"/>
    </row>
    <row r="39" spans="1:12" ht="15.75" customHeight="1">
      <c r="A39" s="75" t="str">
        <f>+IF(WEEKDAY(B39)=2,(many!B39-par!$B$5+par!$K$6)/7+1,"")</f>
        <v/>
      </c>
      <c r="B39" s="76">
        <f>+B38+IF(WEEKDAY(B38)=6,3,1)</f>
        <v>46085</v>
      </c>
      <c r="C39" s="79" t="s">
        <v>47</v>
      </c>
      <c r="D39" s="78"/>
      <c r="E39" s="79"/>
      <c r="F39" s="79"/>
      <c r="G39" s="80"/>
      <c r="H39" s="81"/>
      <c r="I39" s="77"/>
      <c r="J39" s="77"/>
      <c r="K39" s="77"/>
      <c r="L39" s="91" t="s">
        <v>48</v>
      </c>
    </row>
    <row r="40" spans="1:12" ht="15.75" customHeight="1">
      <c r="A40" s="75" t="str">
        <f>+IF(WEEKDAY(B40)=2,(many!B40-par!$B$5+par!$K$6)/7+1,"")</f>
        <v/>
      </c>
      <c r="B40" s="76">
        <f>+B39+IF(WEEKDAY(B39)=6,3,1)</f>
        <v>46086</v>
      </c>
      <c r="C40" s="77" t="s">
        <v>16</v>
      </c>
      <c r="D40" s="78"/>
      <c r="E40" s="79"/>
      <c r="F40" s="79"/>
      <c r="G40" s="80" t="s">
        <v>17</v>
      </c>
      <c r="H40" s="81"/>
      <c r="I40" s="77"/>
      <c r="J40" s="77"/>
      <c r="K40" s="77"/>
      <c r="L40" s="91"/>
    </row>
    <row r="41" spans="1:12" ht="16.5" customHeight="1">
      <c r="A41" s="82" t="str">
        <f>+IF(WEEKDAY(B41)=2,(many!B41-par!$B$5+par!$K$6)/7+1,"")</f>
        <v/>
      </c>
      <c r="B41" s="83">
        <f>+B40+IF(WEEKDAY(B40)=6,3,1)</f>
        <v>46087</v>
      </c>
      <c r="C41" s="84" t="s">
        <v>49</v>
      </c>
      <c r="D41" s="85"/>
      <c r="E41" s="86"/>
      <c r="F41" s="86"/>
      <c r="G41" s="87"/>
      <c r="H41" s="88"/>
      <c r="I41" s="84"/>
      <c r="J41" s="84"/>
      <c r="K41" s="84"/>
      <c r="L41" s="92"/>
    </row>
    <row r="42" spans="1:12" ht="16.5" customHeight="1">
      <c r="A42" s="68"/>
      <c r="B42" s="205" t="s">
        <v>50</v>
      </c>
      <c r="C42" s="219"/>
      <c r="D42" s="220"/>
      <c r="E42" s="220"/>
      <c r="F42" s="220"/>
      <c r="G42" s="220"/>
      <c r="H42" s="220"/>
      <c r="I42" s="220"/>
      <c r="J42" s="220"/>
      <c r="K42" s="221"/>
      <c r="L42" s="89"/>
    </row>
    <row r="43" spans="1:12" ht="15.75" customHeight="1">
      <c r="A43" s="68">
        <f>+IF(WEEKDAY(B43)=2,(many!B43-par!$B$5+par!$K$6)/7+1,"")</f>
        <v>11</v>
      </c>
      <c r="B43" s="69">
        <f>+B41+IF(WEEKDAY(B41)=6,3,1)</f>
        <v>46090</v>
      </c>
      <c r="C43" s="70" t="s">
        <v>51</v>
      </c>
      <c r="D43" s="71"/>
      <c r="E43" s="72"/>
      <c r="F43" s="72"/>
      <c r="G43" s="73"/>
      <c r="H43" s="74"/>
      <c r="I43" s="70"/>
      <c r="J43" s="70"/>
      <c r="K43" s="70"/>
      <c r="L43" s="90"/>
    </row>
    <row r="44" spans="1:12" ht="15.75" customHeight="1">
      <c r="A44" s="75" t="str">
        <f>+IF(WEEKDAY(B44)=2,(many!B44-par!$B$5+par!$K$6)/7+1,"")</f>
        <v/>
      </c>
      <c r="B44" s="76">
        <f>+B43+IF(WEEKDAY(B43)=6,3,1)</f>
        <v>46091</v>
      </c>
      <c r="C44" s="77" t="s">
        <v>52</v>
      </c>
      <c r="D44" s="78"/>
      <c r="E44" s="79"/>
      <c r="F44" s="79"/>
      <c r="G44" s="80"/>
      <c r="H44" s="81"/>
      <c r="I44" s="77"/>
      <c r="J44" s="77"/>
      <c r="K44" s="77"/>
      <c r="L44" s="91" t="s">
        <v>53</v>
      </c>
    </row>
    <row r="45" spans="1:12" ht="15.75" customHeight="1">
      <c r="A45" s="75" t="str">
        <f>+IF(WEEKDAY(B45)=2,(many!B45-par!$B$5+par!$K$6)/7+1,"")</f>
        <v/>
      </c>
      <c r="B45" s="76">
        <f>+B44+IF(WEEKDAY(B44)=6,3,1)</f>
        <v>46092</v>
      </c>
      <c r="C45" s="77" t="s">
        <v>54</v>
      </c>
      <c r="D45" s="79"/>
      <c r="E45" s="79" t="s">
        <v>137</v>
      </c>
      <c r="F45" s="79"/>
      <c r="G45" s="80"/>
      <c r="H45" s="81"/>
      <c r="I45" s="77" t="s">
        <v>137</v>
      </c>
      <c r="J45" s="77"/>
      <c r="K45" s="77"/>
      <c r="L45" s="91" t="s">
        <v>55</v>
      </c>
    </row>
    <row r="46" spans="1:12" ht="15.75" customHeight="1">
      <c r="A46" s="75" t="str">
        <f>+IF(WEEKDAY(B46)=2,(many!B46-par!$B$5+par!$K$6)/7+1,"")</f>
        <v/>
      </c>
      <c r="B46" s="76">
        <f>+B45+IF(WEEKDAY(B45)=6,3,1)</f>
        <v>46093</v>
      </c>
      <c r="C46" s="77" t="s">
        <v>16</v>
      </c>
      <c r="D46" s="78"/>
      <c r="E46" s="79"/>
      <c r="F46" s="79"/>
      <c r="G46" s="80" t="s">
        <v>17</v>
      </c>
      <c r="H46" s="81"/>
      <c r="I46" s="77"/>
      <c r="J46" s="77"/>
      <c r="K46" s="77"/>
      <c r="L46" s="91"/>
    </row>
    <row r="47" spans="1:12" ht="16.5" customHeight="1">
      <c r="A47" s="82" t="str">
        <f>+IF(WEEKDAY(B47)=2,(many!B47-par!$B$5+par!$K$6)/7+1,"")</f>
        <v/>
      </c>
      <c r="B47" s="83">
        <f>+B46+IF(WEEKDAY(B46)=6,3,1)</f>
        <v>46094</v>
      </c>
      <c r="C47" s="84" t="s">
        <v>56</v>
      </c>
      <c r="D47" s="85"/>
      <c r="E47" s="86"/>
      <c r="F47" s="86"/>
      <c r="G47" s="87"/>
      <c r="H47" s="88"/>
      <c r="I47" s="84"/>
      <c r="J47" s="84"/>
      <c r="K47" s="84"/>
      <c r="L47" s="92"/>
    </row>
    <row r="48" spans="1:12" ht="16.5" customHeight="1">
      <c r="A48" s="68"/>
      <c r="B48" s="205" t="s">
        <v>57</v>
      </c>
      <c r="C48" s="219"/>
      <c r="D48" s="220"/>
      <c r="E48" s="220"/>
      <c r="F48" s="220"/>
      <c r="G48" s="220"/>
      <c r="H48" s="220"/>
      <c r="I48" s="220"/>
      <c r="J48" s="220"/>
      <c r="K48" s="221"/>
      <c r="L48" s="89"/>
    </row>
    <row r="49" spans="1:12" ht="15.75" customHeight="1">
      <c r="A49" s="68">
        <f>+IF(WEEKDAY(B49)=2,(many!B49-par!$B$5+par!$K$6)/7+1,"")</f>
        <v>12</v>
      </c>
      <c r="B49" s="69">
        <f>+B47+IF(WEEKDAY(B47)=6,3,1)</f>
        <v>46097</v>
      </c>
      <c r="C49" s="70" t="s">
        <v>58</v>
      </c>
      <c r="D49" s="71"/>
      <c r="E49" s="72" t="s">
        <v>137</v>
      </c>
      <c r="F49" s="72"/>
      <c r="G49" s="73"/>
      <c r="H49" s="74"/>
      <c r="I49" s="70" t="s">
        <v>137</v>
      </c>
      <c r="J49" s="70"/>
      <c r="K49" s="70"/>
      <c r="L49" s="90"/>
    </row>
    <row r="50" spans="1:12" ht="15.75" customHeight="1">
      <c r="A50" s="75" t="str">
        <f>+IF(WEEKDAY(B50)=2,(many!B50-par!$B$5+par!$K$6)/7+1,"")</f>
        <v/>
      </c>
      <c r="B50" s="76">
        <f>+B49+IF(WEEKDAY(B49)=6,3,1)</f>
        <v>46098</v>
      </c>
      <c r="C50" s="77" t="s">
        <v>59</v>
      </c>
      <c r="D50" s="78"/>
      <c r="E50" s="79"/>
      <c r="F50" s="79"/>
      <c r="G50" s="80"/>
      <c r="H50" s="81"/>
      <c r="I50" s="77"/>
      <c r="J50" s="77"/>
      <c r="K50" s="77"/>
      <c r="L50" s="91"/>
    </row>
    <row r="51" spans="1:12" ht="15.75" customHeight="1">
      <c r="A51" s="75" t="str">
        <f>+IF(WEEKDAY(B51)=2,(many!B51-par!$B$5+par!$K$6)/7+1,"")</f>
        <v/>
      </c>
      <c r="B51" s="76">
        <f>+B50+IF(WEEKDAY(B50)=6,3,1)</f>
        <v>46099</v>
      </c>
      <c r="C51" s="77" t="s">
        <v>60</v>
      </c>
      <c r="D51" s="78"/>
      <c r="E51" s="79"/>
      <c r="F51" s="79"/>
      <c r="G51" s="80"/>
      <c r="H51" s="81"/>
      <c r="I51" s="77" t="s">
        <v>137</v>
      </c>
      <c r="J51" s="77"/>
      <c r="K51" s="77"/>
      <c r="L51" s="91" t="s">
        <v>15</v>
      </c>
    </row>
    <row r="52" spans="1:12" ht="15.75" customHeight="1">
      <c r="A52" s="75" t="str">
        <f>+IF(WEEKDAY(B52)=2,(many!B52-par!$B$5+par!$K$6)/7+1,"")</f>
        <v/>
      </c>
      <c r="B52" s="76">
        <f>+B51+IF(WEEKDAY(B51)=6,3,1)</f>
        <v>46100</v>
      </c>
      <c r="C52" s="77" t="s">
        <v>16</v>
      </c>
      <c r="D52" s="78"/>
      <c r="E52" s="79"/>
      <c r="F52" s="79"/>
      <c r="G52" s="80" t="s">
        <v>17</v>
      </c>
      <c r="H52" s="81"/>
      <c r="I52" s="77"/>
      <c r="J52" s="77"/>
      <c r="K52" s="77"/>
      <c r="L52" s="91"/>
    </row>
    <row r="53" spans="1:12" ht="16.5" customHeight="1">
      <c r="A53" s="82" t="str">
        <f>+IF(WEEKDAY(B53)=2,(many!B53-par!$B$5+par!$K$6)/7+1,"")</f>
        <v/>
      </c>
      <c r="B53" s="83">
        <f>+B52+IF(WEEKDAY(B52)=6,3,1)</f>
        <v>46101</v>
      </c>
      <c r="C53" s="84" t="s">
        <v>59</v>
      </c>
      <c r="D53" s="85"/>
      <c r="E53" s="86"/>
      <c r="F53" s="86"/>
      <c r="G53" s="87"/>
      <c r="H53" s="88"/>
      <c r="I53" s="84"/>
      <c r="J53" s="84"/>
      <c r="K53" s="84"/>
      <c r="L53" s="92" t="s">
        <v>61</v>
      </c>
    </row>
    <row r="54" spans="1:12" ht="16.5" customHeight="1">
      <c r="A54" s="68"/>
      <c r="B54" s="205" t="s">
        <v>62</v>
      </c>
      <c r="C54" s="219"/>
      <c r="D54" s="220"/>
      <c r="E54" s="220"/>
      <c r="F54" s="220"/>
      <c r="G54" s="220"/>
      <c r="H54" s="220"/>
      <c r="I54" s="220"/>
      <c r="J54" s="220"/>
      <c r="K54" s="221"/>
      <c r="L54" s="89"/>
    </row>
    <row r="55" spans="1:12" ht="16.5" customHeight="1">
      <c r="A55" s="68">
        <f>+IF(WEEKDAY(B55)=2,(many!B55-par!$B$5+par!$K$6)/7+1,"")</f>
        <v>13</v>
      </c>
      <c r="B55" s="69">
        <f>+B53+IF(WEEKDAY(B53)=6,3,1)</f>
        <v>46104</v>
      </c>
      <c r="C55" s="77" t="s">
        <v>63</v>
      </c>
      <c r="D55" s="78"/>
      <c r="E55" s="79" t="s">
        <v>137</v>
      </c>
      <c r="F55" s="79"/>
      <c r="G55" s="80"/>
      <c r="H55" s="81"/>
      <c r="I55" s="77" t="s">
        <v>137</v>
      </c>
      <c r="J55" s="77"/>
      <c r="K55" s="77"/>
      <c r="L55" s="91"/>
    </row>
    <row r="56" spans="1:12" ht="16.5" customHeight="1">
      <c r="A56" s="75" t="str">
        <f>+IF(WEEKDAY(B56)=2,(many!B56-par!$B$5+par!$K$6)/7+1,"")</f>
        <v/>
      </c>
      <c r="B56" s="76">
        <f>+B55+IF(WEEKDAY(B55)=6,3,1)</f>
        <v>46105</v>
      </c>
      <c r="C56" s="77" t="s">
        <v>138</v>
      </c>
      <c r="D56" s="78"/>
      <c r="E56" s="79"/>
      <c r="F56" s="79"/>
      <c r="G56" s="80"/>
      <c r="H56" s="81"/>
      <c r="I56" s="77"/>
      <c r="J56" s="77"/>
      <c r="K56" s="77"/>
      <c r="L56" s="91"/>
    </row>
    <row r="57" spans="1:12" ht="16.5" customHeight="1">
      <c r="A57" s="75" t="str">
        <f>+IF(WEEKDAY(B57)=2,(many!B57-par!$B$5+par!$K$6)/7+1,"")</f>
        <v/>
      </c>
      <c r="B57" s="76">
        <f>+B56+IF(WEEKDAY(B56)=6,3,1)</f>
        <v>46106</v>
      </c>
      <c r="C57" s="77" t="s">
        <v>66</v>
      </c>
      <c r="D57" s="78"/>
      <c r="E57" s="79"/>
      <c r="F57" s="79"/>
      <c r="G57" s="80"/>
      <c r="H57" s="81"/>
      <c r="I57" s="77"/>
      <c r="J57" s="77"/>
      <c r="K57" s="77"/>
      <c r="L57" s="91" t="s">
        <v>67</v>
      </c>
    </row>
    <row r="58" spans="1:12" ht="16.5" customHeight="1">
      <c r="A58" s="75" t="str">
        <f>+IF(WEEKDAY(B58)=2,(many!B58-par!$B$5+par!$K$6)/7+1,"")</f>
        <v/>
      </c>
      <c r="B58" s="76">
        <f>+B57+IF(WEEKDAY(B57)=6,3,1)</f>
        <v>46107</v>
      </c>
      <c r="C58" s="77" t="s">
        <v>68</v>
      </c>
      <c r="D58" s="78"/>
      <c r="E58" s="79" t="s">
        <v>137</v>
      </c>
      <c r="F58" s="79"/>
      <c r="G58" s="80"/>
      <c r="H58" s="81"/>
      <c r="I58" s="77" t="s">
        <v>137</v>
      </c>
      <c r="J58" s="77"/>
      <c r="K58" s="77"/>
      <c r="L58" s="91"/>
    </row>
    <row r="59" spans="1:12" ht="16.5" customHeight="1">
      <c r="A59" s="82" t="str">
        <f>+IF(WEEKDAY(B59)=2,(many!B59-par!$B$5+par!$K$6)/7+1,"")</f>
        <v/>
      </c>
      <c r="B59" s="83">
        <f>+B58+IF(WEEKDAY(B58)=6,3,1)</f>
        <v>46108</v>
      </c>
      <c r="C59" s="84" t="s">
        <v>69</v>
      </c>
      <c r="D59" s="85"/>
      <c r="E59" s="86"/>
      <c r="F59" s="86"/>
      <c r="G59" s="87"/>
      <c r="H59" s="88"/>
      <c r="I59" s="84"/>
      <c r="J59" s="84"/>
      <c r="K59" s="84"/>
      <c r="L59" s="92"/>
    </row>
    <row r="60" spans="1:12" ht="21" customHeight="1">
      <c r="A60" s="14"/>
      <c r="B60" s="197" t="s">
        <v>70</v>
      </c>
      <c r="C60" s="198"/>
      <c r="D60" s="198"/>
      <c r="E60" s="198"/>
      <c r="F60" s="198"/>
      <c r="G60" s="198"/>
      <c r="H60" s="198"/>
      <c r="I60" s="198"/>
      <c r="J60" s="198"/>
      <c r="K60" s="200"/>
      <c r="L60" s="15"/>
    </row>
    <row r="61" spans="1:12" ht="15.75">
      <c r="A61" s="185">
        <v>14</v>
      </c>
      <c r="B61" s="211" t="s">
        <v>71</v>
      </c>
      <c r="C61" s="212"/>
      <c r="D61" s="212"/>
      <c r="E61" s="212"/>
      <c r="F61" s="212"/>
      <c r="G61" s="212"/>
      <c r="H61" s="212"/>
      <c r="I61" s="212"/>
      <c r="J61" s="212"/>
      <c r="K61" s="213"/>
      <c r="L61" s="186"/>
    </row>
    <row r="62" spans="1:12" ht="15.75" hidden="1">
      <c r="A62" s="160">
        <f>+IF(WEEKDAY(B62)=2,(many!B62-par!$B$5+par!$K$6)/7+1,"")</f>
        <v>14</v>
      </c>
      <c r="B62" s="161">
        <f>+B59+IF(WEEKDAY(B53)=6,3,1)</f>
        <v>46111</v>
      </c>
      <c r="C62" s="162" t="s">
        <v>71</v>
      </c>
      <c r="D62" s="163"/>
      <c r="E62" s="164"/>
      <c r="F62" s="164"/>
      <c r="G62" s="165"/>
      <c r="H62" s="166"/>
      <c r="I62" s="167"/>
      <c r="J62" s="167"/>
      <c r="K62" s="167"/>
      <c r="L62" s="168"/>
    </row>
    <row r="63" spans="1:12" ht="15.75" hidden="1">
      <c r="A63" s="169" t="str">
        <f>+IF(WEEKDAY(B63)=2,(many!B63-par!$B$5+par!$K$6)/7+1,"")</f>
        <v/>
      </c>
      <c r="B63" s="170">
        <f>+B62+IF(WEEKDAY(B62)=6,3,1)</f>
        <v>46112</v>
      </c>
      <c r="C63" s="162" t="s">
        <v>71</v>
      </c>
      <c r="D63" s="171"/>
      <c r="E63" s="172"/>
      <c r="F63" s="172"/>
      <c r="G63" s="173"/>
      <c r="H63" s="174"/>
      <c r="I63" s="175"/>
      <c r="J63" s="175"/>
      <c r="K63" s="175"/>
      <c r="L63" s="176"/>
    </row>
    <row r="64" spans="1:12" ht="15.75" hidden="1">
      <c r="A64" s="169" t="str">
        <f>+IF(WEEKDAY(B64)=2,(many!B64-par!$B$5+par!$K$6)/7+1,"")</f>
        <v/>
      </c>
      <c r="B64" s="170">
        <f>+B63+IF(WEEKDAY(B63)=6,3,1)</f>
        <v>46113</v>
      </c>
      <c r="C64" s="162" t="s">
        <v>71</v>
      </c>
      <c r="D64" s="171"/>
      <c r="E64" s="172"/>
      <c r="F64" s="172"/>
      <c r="G64" s="173"/>
      <c r="H64" s="174"/>
      <c r="I64" s="175"/>
      <c r="J64" s="175"/>
      <c r="K64" s="175"/>
      <c r="L64" s="176"/>
    </row>
    <row r="65" spans="1:12" ht="15.75" hidden="1">
      <c r="A65" s="169" t="str">
        <f>+IF(WEEKDAY(B65)=2,(many!B65-par!$B$5+par!$K$6)/7+1,"")</f>
        <v/>
      </c>
      <c r="B65" s="170">
        <f>+B64+IF(WEEKDAY(B64)=6,3,1)</f>
        <v>46114</v>
      </c>
      <c r="C65" s="162" t="s">
        <v>71</v>
      </c>
      <c r="D65" s="171"/>
      <c r="E65" s="172"/>
      <c r="F65" s="172"/>
      <c r="G65" s="173"/>
      <c r="H65" s="174"/>
      <c r="I65" s="175"/>
      <c r="J65" s="175"/>
      <c r="K65" s="175"/>
      <c r="L65" s="176"/>
    </row>
    <row r="66" spans="1:12" ht="15.75" hidden="1">
      <c r="A66" s="177" t="str">
        <f>+IF(WEEKDAY(B66)=2,(many!B66-par!$B$5+par!$K$6)/7+1,"")</f>
        <v/>
      </c>
      <c r="B66" s="178">
        <f>+B65+IF(WEEKDAY(B65)=6,3,1)</f>
        <v>46115</v>
      </c>
      <c r="C66" s="162" t="s">
        <v>71</v>
      </c>
      <c r="D66" s="179"/>
      <c r="E66" s="180"/>
      <c r="F66" s="180"/>
      <c r="G66" s="181"/>
      <c r="H66" s="182"/>
      <c r="I66" s="183"/>
      <c r="J66" s="183"/>
      <c r="K66" s="183"/>
      <c r="L66" s="184"/>
    </row>
    <row r="67" spans="1:12" ht="20.25">
      <c r="A67" s="14"/>
      <c r="B67" s="197" t="s">
        <v>72</v>
      </c>
      <c r="C67" s="198"/>
      <c r="D67" s="217"/>
      <c r="E67" s="217"/>
      <c r="F67" s="217"/>
      <c r="G67" s="217"/>
      <c r="H67" s="217"/>
      <c r="I67" s="217"/>
      <c r="J67" s="217"/>
      <c r="K67" s="218"/>
      <c r="L67" s="15"/>
    </row>
    <row r="68" spans="1:12" ht="16.5" customHeight="1">
      <c r="A68" s="93"/>
      <c r="B68" s="199" t="s">
        <v>73</v>
      </c>
      <c r="C68" s="222"/>
      <c r="D68" s="223"/>
      <c r="E68" s="223"/>
      <c r="F68" s="223"/>
      <c r="G68" s="223"/>
      <c r="H68" s="223"/>
      <c r="I68" s="223"/>
      <c r="J68" s="223"/>
      <c r="K68" s="224"/>
      <c r="L68" s="94"/>
    </row>
    <row r="69" spans="1:12" ht="15.75" customHeight="1">
      <c r="A69" s="21">
        <f>+IF(WEEKDAY(B69)=2,(many!B69-par!$B$5+par!$K$6)/7+1,"")</f>
        <v>15</v>
      </c>
      <c r="B69" s="27">
        <f>+B66+IF(WEEKDAY(B66)=6,3,1)</f>
        <v>46118</v>
      </c>
      <c r="C69" s="48" t="s">
        <v>74</v>
      </c>
      <c r="D69" s="49"/>
      <c r="E69" s="50"/>
      <c r="F69" s="50"/>
      <c r="G69" s="51"/>
      <c r="H69" s="52"/>
      <c r="I69" s="48"/>
      <c r="J69" s="48"/>
      <c r="K69" s="48"/>
      <c r="L69" s="53"/>
    </row>
    <row r="70" spans="1:12" ht="15.75" customHeight="1">
      <c r="A70" s="22" t="str">
        <f>+IF(WEEKDAY(B70)=2,(many!B70-par!$B$5+par!$K$6)/7+1,"")</f>
        <v/>
      </c>
      <c r="B70" s="28">
        <f>+B69+IF(WEEKDAY(B69)=6,3,1)</f>
        <v>46119</v>
      </c>
      <c r="C70" s="54" t="s">
        <v>75</v>
      </c>
      <c r="D70" s="55"/>
      <c r="E70" s="56"/>
      <c r="F70" s="56"/>
      <c r="G70" s="57"/>
      <c r="H70" s="58"/>
      <c r="I70" s="54"/>
      <c r="J70" s="54"/>
      <c r="K70" s="54"/>
      <c r="L70" s="59"/>
    </row>
    <row r="71" spans="1:12" ht="15.75" customHeight="1">
      <c r="A71" s="22" t="str">
        <f>+IF(WEEKDAY(B71)=2,(many!B71-par!$B$5+par!$K$6)/7+1,"")</f>
        <v/>
      </c>
      <c r="B71" s="28">
        <f>+B70+IF(WEEKDAY(B70)=6,3,1)</f>
        <v>46120</v>
      </c>
      <c r="C71" s="54" t="s">
        <v>76</v>
      </c>
      <c r="D71" s="55"/>
      <c r="E71" s="56" t="s">
        <v>137</v>
      </c>
      <c r="F71" s="56"/>
      <c r="G71" s="57"/>
      <c r="H71" s="58"/>
      <c r="I71" s="54" t="s">
        <v>137</v>
      </c>
      <c r="J71" s="54"/>
      <c r="K71" s="54"/>
      <c r="L71" s="187" t="s">
        <v>139</v>
      </c>
    </row>
    <row r="72" spans="1:12" ht="15.75" customHeight="1">
      <c r="A72" s="22" t="str">
        <f>+IF(WEEKDAY(B72)=2,(many!B72-par!$B$5+par!$K$6)/7+1,"")</f>
        <v/>
      </c>
      <c r="B72" s="28">
        <f>+B71+IF(WEEKDAY(B71)=6,3,1)</f>
        <v>46121</v>
      </c>
      <c r="C72" s="54" t="s">
        <v>78</v>
      </c>
      <c r="D72" s="55"/>
      <c r="E72" s="151"/>
      <c r="F72" s="151"/>
      <c r="G72" s="57" t="s">
        <v>17</v>
      </c>
      <c r="H72" s="58"/>
      <c r="I72" s="54"/>
      <c r="J72" s="54"/>
      <c r="K72" s="54"/>
      <c r="L72" s="59"/>
    </row>
    <row r="73" spans="1:12" ht="16.5" customHeight="1">
      <c r="A73" s="23" t="str">
        <f>+IF(WEEKDAY(B73)=2,(many!B73-par!$B$5+par!$K$6)/7+1,"")</f>
        <v/>
      </c>
      <c r="B73" s="29">
        <f>+B72+IF(WEEKDAY(B72)=6,3,1)</f>
        <v>46122</v>
      </c>
      <c r="C73" s="60" t="s">
        <v>79</v>
      </c>
      <c r="D73" s="61"/>
      <c r="E73" s="62"/>
      <c r="F73" s="62"/>
      <c r="G73" s="63"/>
      <c r="H73" s="64"/>
      <c r="I73" s="60"/>
      <c r="J73" s="60"/>
      <c r="K73" s="60"/>
      <c r="L73" s="65"/>
    </row>
    <row r="74" spans="1:12" ht="16.5" customHeight="1">
      <c r="A74" s="21"/>
      <c r="B74" s="199" t="s">
        <v>80</v>
      </c>
      <c r="C74" s="222"/>
      <c r="D74" s="223"/>
      <c r="E74" s="223"/>
      <c r="F74" s="223"/>
      <c r="G74" s="223"/>
      <c r="H74" s="223"/>
      <c r="I74" s="223"/>
      <c r="J74" s="223"/>
      <c r="K74" s="224"/>
      <c r="L74" s="95"/>
    </row>
    <row r="75" spans="1:12" ht="15.75" customHeight="1">
      <c r="A75" s="21">
        <f>+IF(WEEKDAY(B75)=2,(many!B75-par!$B$5+par!$K$6)/7+1,"")</f>
        <v>16</v>
      </c>
      <c r="B75" s="27">
        <f>+B73+IF(WEEKDAY(B73)=6,3,1)</f>
        <v>46125</v>
      </c>
      <c r="C75" s="188" t="s">
        <v>79</v>
      </c>
      <c r="D75" s="49"/>
      <c r="E75" s="50" t="s">
        <v>137</v>
      </c>
      <c r="F75" s="50"/>
      <c r="G75" s="51"/>
      <c r="H75" s="52"/>
      <c r="I75" s="48" t="s">
        <v>137</v>
      </c>
      <c r="J75" s="48"/>
      <c r="K75" s="48"/>
      <c r="L75" s="53" t="s">
        <v>82</v>
      </c>
    </row>
    <row r="76" spans="1:12" ht="15.75" customHeight="1">
      <c r="A76" s="22" t="str">
        <f>+IF(WEEKDAY(B76)=2,(many!B76-par!$B$5+par!$K$6)/7+1,"")</f>
        <v/>
      </c>
      <c r="B76" s="28">
        <f>+B75+IF(WEEKDAY(B75)=6,3,1)</f>
        <v>46126</v>
      </c>
      <c r="C76" s="54" t="s">
        <v>79</v>
      </c>
      <c r="D76" s="55"/>
      <c r="E76" s="56"/>
      <c r="F76" s="56"/>
      <c r="G76" s="57"/>
      <c r="H76" s="58"/>
      <c r="I76" s="54"/>
      <c r="J76" s="54"/>
      <c r="K76" s="54"/>
      <c r="L76" s="59"/>
    </row>
    <row r="77" spans="1:12" ht="15.75" customHeight="1">
      <c r="A77" s="22" t="str">
        <f>+IF(WEEKDAY(B77)=2,(many!B77-par!$B$5+par!$K$6)/7+1,"")</f>
        <v/>
      </c>
      <c r="B77" s="28">
        <f>+B76+IF(WEEKDAY(B76)=6,3,1)</f>
        <v>46127</v>
      </c>
      <c r="C77" s="54" t="s">
        <v>83</v>
      </c>
      <c r="D77" s="55"/>
      <c r="E77" s="56"/>
      <c r="F77" s="56"/>
      <c r="G77" s="57"/>
      <c r="H77" s="58"/>
      <c r="I77" s="54" t="s">
        <v>137</v>
      </c>
      <c r="J77" s="54"/>
      <c r="K77" s="54"/>
      <c r="L77" s="59" t="s">
        <v>15</v>
      </c>
    </row>
    <row r="78" spans="1:12" ht="15.75" customHeight="1">
      <c r="A78" s="22" t="str">
        <f>+IF(WEEKDAY(B78)=2,(many!B78-par!$B$5+par!$K$6)/7+1,"")</f>
        <v/>
      </c>
      <c r="B78" s="28">
        <f>+B77+IF(WEEKDAY(B77)=6,3,1)</f>
        <v>46128</v>
      </c>
      <c r="C78" s="54" t="s">
        <v>84</v>
      </c>
      <c r="D78" s="55"/>
      <c r="E78" s="56"/>
      <c r="F78" s="56"/>
      <c r="G78" s="57" t="s">
        <v>17</v>
      </c>
      <c r="H78" s="58"/>
      <c r="I78" s="54"/>
      <c r="J78" s="54"/>
      <c r="K78" s="54"/>
      <c r="L78" s="59"/>
    </row>
    <row r="79" spans="1:12" ht="16.5" customHeight="1">
      <c r="A79" s="23" t="str">
        <f>+IF(WEEKDAY(B79)=2,(many!B79-par!$B$5+par!$K$6)/7+1,"")</f>
        <v/>
      </c>
      <c r="B79" s="29">
        <f>+B78+IF(WEEKDAY(B78)=6,3,1)</f>
        <v>46129</v>
      </c>
      <c r="C79" s="60" t="s">
        <v>79</v>
      </c>
      <c r="D79" s="61"/>
      <c r="E79" s="62"/>
      <c r="F79" s="62"/>
      <c r="G79" s="63"/>
      <c r="H79" s="64"/>
      <c r="I79" s="60"/>
      <c r="J79" s="60"/>
      <c r="K79" s="60"/>
      <c r="L79" s="65"/>
    </row>
    <row r="80" spans="1:12" ht="16.5" customHeight="1">
      <c r="A80" s="21"/>
      <c r="B80" s="199" t="s">
        <v>80</v>
      </c>
      <c r="C80" s="222"/>
      <c r="D80" s="223"/>
      <c r="E80" s="223"/>
      <c r="F80" s="223"/>
      <c r="G80" s="223"/>
      <c r="H80" s="223"/>
      <c r="I80" s="223"/>
      <c r="J80" s="223"/>
      <c r="K80" s="224"/>
      <c r="L80" s="95"/>
    </row>
    <row r="81" spans="1:12" ht="15.75" customHeight="1">
      <c r="A81" s="21">
        <f>+IF(WEEKDAY(B81)=2,(many!B81-par!$B$5+par!$K$6)/7+1,"")</f>
        <v>17</v>
      </c>
      <c r="B81" s="27">
        <f>+B79+IF(WEEKDAY(B79)=6,3,1)</f>
        <v>46132</v>
      </c>
      <c r="C81" s="48" t="s">
        <v>85</v>
      </c>
      <c r="D81" s="49"/>
      <c r="E81" s="50" t="s">
        <v>137</v>
      </c>
      <c r="F81" s="50"/>
      <c r="G81" s="51"/>
      <c r="H81" s="52"/>
      <c r="I81" s="48" t="s">
        <v>137</v>
      </c>
      <c r="J81" s="48"/>
      <c r="K81" s="48"/>
      <c r="L81" s="53"/>
    </row>
    <row r="82" spans="1:12" ht="15.75" customHeight="1">
      <c r="A82" s="22" t="str">
        <f>+IF(WEEKDAY(B82)=2,(many!B82-par!$B$5+par!$K$6)/7+1,"")</f>
        <v/>
      </c>
      <c r="B82" s="28">
        <f t="shared" ref="B82:B92" si="0">+B81+IF(WEEKDAY(B81)=6,3,1)</f>
        <v>46133</v>
      </c>
      <c r="C82" s="54" t="s">
        <v>86</v>
      </c>
      <c r="D82" s="55"/>
      <c r="E82" s="56"/>
      <c r="F82" s="56"/>
      <c r="G82" s="57"/>
      <c r="H82" s="58"/>
      <c r="I82" s="54"/>
      <c r="J82" s="54"/>
      <c r="K82" s="54"/>
      <c r="L82" s="59"/>
    </row>
    <row r="83" spans="1:12" ht="15.75" customHeight="1">
      <c r="A83" s="22" t="str">
        <f>+IF(WEEKDAY(B83)=2,(many!B83-par!$B$5+par!$K$6)/7+1,"")</f>
        <v/>
      </c>
      <c r="B83" s="28">
        <f t="shared" si="0"/>
        <v>46134</v>
      </c>
      <c r="C83" s="54" t="s">
        <v>79</v>
      </c>
      <c r="D83" s="55"/>
      <c r="E83" s="56"/>
      <c r="F83" s="56"/>
      <c r="G83" s="57"/>
      <c r="H83" s="58"/>
      <c r="I83" s="54" t="s">
        <v>137</v>
      </c>
      <c r="J83" s="54"/>
      <c r="K83" s="54"/>
      <c r="L83" s="59" t="s">
        <v>87</v>
      </c>
    </row>
    <row r="84" spans="1:12" ht="15.75" customHeight="1">
      <c r="A84" s="22" t="str">
        <f>+IF(WEEKDAY(B84)=2,(many!B84-par!$B$5+par!$K$6)/7+1,"")</f>
        <v/>
      </c>
      <c r="B84" s="28">
        <f t="shared" si="0"/>
        <v>46135</v>
      </c>
      <c r="C84" s="54" t="s">
        <v>88</v>
      </c>
      <c r="D84" s="55"/>
      <c r="E84" s="56"/>
      <c r="F84" s="56"/>
      <c r="G84" s="57" t="s">
        <v>17</v>
      </c>
      <c r="H84" s="58"/>
      <c r="I84" s="54"/>
      <c r="J84" s="54"/>
      <c r="K84" s="54"/>
      <c r="L84" s="59"/>
    </row>
    <row r="85" spans="1:12" ht="15.75">
      <c r="A85" s="23" t="str">
        <f>+IF(WEEKDAY(B85)=2,(many!B85-par!$B$5+par!$K$6)/7+1,"")</f>
        <v/>
      </c>
      <c r="B85" s="29">
        <f t="shared" si="0"/>
        <v>46136</v>
      </c>
      <c r="C85" s="60" t="s">
        <v>89</v>
      </c>
      <c r="D85" s="61"/>
      <c r="E85" s="62"/>
      <c r="F85" s="62"/>
      <c r="G85" s="63"/>
      <c r="H85" s="64"/>
      <c r="I85" s="60"/>
      <c r="J85" s="60"/>
      <c r="K85" s="60"/>
      <c r="L85" s="65" t="s">
        <v>90</v>
      </c>
    </row>
    <row r="86" spans="1:12" ht="20.25">
      <c r="A86" s="14"/>
      <c r="B86" s="197" t="s">
        <v>91</v>
      </c>
      <c r="C86" s="198"/>
      <c r="D86" s="217"/>
      <c r="E86" s="217"/>
      <c r="F86" s="217"/>
      <c r="G86" s="217"/>
      <c r="H86" s="217"/>
      <c r="I86" s="217"/>
      <c r="J86" s="217"/>
      <c r="K86" s="218"/>
      <c r="L86" s="15"/>
    </row>
    <row r="87" spans="1:12" ht="16.5" customHeight="1">
      <c r="A87" s="96"/>
      <c r="B87" s="196" t="s">
        <v>92</v>
      </c>
      <c r="C87" s="225"/>
      <c r="D87" s="226"/>
      <c r="E87" s="226"/>
      <c r="F87" s="226"/>
      <c r="G87" s="226"/>
      <c r="H87" s="226"/>
      <c r="I87" s="226"/>
      <c r="J87" s="226"/>
      <c r="K87" s="227"/>
      <c r="L87" s="97"/>
    </row>
    <row r="88" spans="1:12" ht="15.75">
      <c r="A88" s="98">
        <f>+IF(WEEKDAY(B88)=2,(many!B88-par!$B$5+par!$K$6)/7+1,"")</f>
        <v>18</v>
      </c>
      <c r="B88" s="99">
        <f>+B85+IF(WEEKDAY(B85)=6,3,1)</f>
        <v>46139</v>
      </c>
      <c r="C88" s="100" t="s">
        <v>93</v>
      </c>
      <c r="D88" s="101"/>
      <c r="E88" s="102" t="s">
        <v>137</v>
      </c>
      <c r="F88" s="102"/>
      <c r="G88" s="103"/>
      <c r="H88" s="104"/>
      <c r="I88" s="100" t="s">
        <v>137</v>
      </c>
      <c r="J88" s="100"/>
      <c r="K88" s="100"/>
      <c r="L88" s="105" t="s">
        <v>94</v>
      </c>
    </row>
    <row r="89" spans="1:12" ht="15.75">
      <c r="A89" s="106" t="str">
        <f>+IF(WEEKDAY(B89)=2,(many!B89-par!$B$5+par!$K$6)/7+1,"")</f>
        <v/>
      </c>
      <c r="B89" s="107">
        <f t="shared" si="0"/>
        <v>46140</v>
      </c>
      <c r="C89" s="108" t="s">
        <v>95</v>
      </c>
      <c r="D89" s="109"/>
      <c r="E89" s="110"/>
      <c r="F89" s="110"/>
      <c r="G89" s="111"/>
      <c r="H89" s="112"/>
      <c r="I89" s="108"/>
      <c r="J89" s="108"/>
      <c r="K89" s="108"/>
      <c r="L89" s="113"/>
    </row>
    <row r="90" spans="1:12" ht="15.75">
      <c r="A90" s="106" t="str">
        <f>+IF(WEEKDAY(B90)=2,(many!B90-par!$B$5+par!$K$6)/7+1,"")</f>
        <v/>
      </c>
      <c r="B90" s="107">
        <f t="shared" si="0"/>
        <v>46141</v>
      </c>
      <c r="C90" s="153" t="s">
        <v>96</v>
      </c>
      <c r="D90" s="109"/>
      <c r="E90" s="110"/>
      <c r="F90" s="110"/>
      <c r="G90" s="111"/>
      <c r="H90" s="112"/>
      <c r="I90" s="108" t="s">
        <v>137</v>
      </c>
      <c r="J90" s="108"/>
      <c r="K90" s="108"/>
      <c r="L90" s="113" t="s">
        <v>97</v>
      </c>
    </row>
    <row r="91" spans="1:12" ht="15.75">
      <c r="A91" s="106" t="str">
        <f>+IF(WEEKDAY(B91)=2,(many!B91-par!$B$5+par!$K$6)/7+1,"")</f>
        <v/>
      </c>
      <c r="B91" s="107">
        <f t="shared" si="0"/>
        <v>46142</v>
      </c>
      <c r="C91" s="108" t="s">
        <v>98</v>
      </c>
      <c r="D91" s="109"/>
      <c r="E91" s="110"/>
      <c r="F91" s="110"/>
      <c r="G91" s="111" t="s">
        <v>17</v>
      </c>
      <c r="H91" s="112"/>
      <c r="I91" s="108"/>
      <c r="J91" s="108"/>
      <c r="K91" s="108"/>
      <c r="L91" s="113"/>
    </row>
    <row r="92" spans="1:12" ht="15.75">
      <c r="A92" s="114" t="str">
        <f>+IF(WEEKDAY(B92)=2,(many!B92-par!$B$5+par!$K$6)/7+1,"")</f>
        <v/>
      </c>
      <c r="B92" s="115">
        <f t="shared" si="0"/>
        <v>46143</v>
      </c>
      <c r="C92" s="116" t="s">
        <v>99</v>
      </c>
      <c r="D92" s="117"/>
      <c r="E92" s="118"/>
      <c r="F92" s="118"/>
      <c r="G92" s="119"/>
      <c r="H92" s="120"/>
      <c r="I92" s="116"/>
      <c r="J92" s="116"/>
      <c r="K92" s="116"/>
      <c r="L92" s="121"/>
    </row>
    <row r="93" spans="1:12" ht="16.5" customHeight="1">
      <c r="A93" s="96"/>
      <c r="B93" s="196" t="s">
        <v>80</v>
      </c>
      <c r="C93" s="225"/>
      <c r="D93" s="226"/>
      <c r="E93" s="226"/>
      <c r="F93" s="226"/>
      <c r="G93" s="226"/>
      <c r="H93" s="226"/>
      <c r="I93" s="226"/>
      <c r="J93" s="226"/>
      <c r="K93" s="227"/>
      <c r="L93" s="97"/>
    </row>
    <row r="94" spans="1:12" ht="15.75" customHeight="1">
      <c r="A94" s="98">
        <f>+IF(WEEKDAY(B94)=2,(many!B94-par!$B$5+par!$K$6)/7+1,"")</f>
        <v>19</v>
      </c>
      <c r="B94" s="99">
        <f>+B92+IF(WEEKDAY(B92)=6,3,1)</f>
        <v>46146</v>
      </c>
      <c r="C94" s="100" t="s">
        <v>100</v>
      </c>
      <c r="D94" s="101"/>
      <c r="E94" s="102" t="s">
        <v>137</v>
      </c>
      <c r="F94" s="102"/>
      <c r="G94" s="103"/>
      <c r="H94" s="104"/>
      <c r="I94" s="100" t="s">
        <v>137</v>
      </c>
      <c r="J94" s="100"/>
      <c r="K94" s="100"/>
      <c r="L94" s="105"/>
    </row>
    <row r="95" spans="1:12" ht="15.75" customHeight="1">
      <c r="A95" s="106" t="str">
        <f>+IF(WEEKDAY(B95)=2,(many!B95-par!$B$5+par!$K$6)/7+1,"")</f>
        <v/>
      </c>
      <c r="B95" s="107">
        <f>+B94+IF(WEEKDAY(B94)=6,3,1)</f>
        <v>46147</v>
      </c>
      <c r="C95" s="108" t="s">
        <v>101</v>
      </c>
      <c r="D95" s="109"/>
      <c r="E95" s="110"/>
      <c r="F95" s="110"/>
      <c r="G95" s="111" t="s">
        <v>17</v>
      </c>
      <c r="H95" s="112"/>
      <c r="I95" s="108"/>
      <c r="J95" s="108"/>
      <c r="K95" s="108"/>
      <c r="L95" s="113"/>
    </row>
    <row r="96" spans="1:12" ht="15.75" customHeight="1">
      <c r="A96" s="106" t="str">
        <f>+IF(WEEKDAY(B96)=2,(many!B96-par!$B$5+par!$K$6)/7+1,"")</f>
        <v/>
      </c>
      <c r="B96" s="107">
        <f>+B95+IF(WEEKDAY(B95)=6,3,1)</f>
        <v>46148</v>
      </c>
      <c r="C96" s="108" t="s">
        <v>102</v>
      </c>
      <c r="D96" s="109"/>
      <c r="E96" s="110"/>
      <c r="F96" s="110"/>
      <c r="G96" s="111"/>
      <c r="H96" s="112"/>
      <c r="I96" s="153" t="s">
        <v>137</v>
      </c>
      <c r="J96" s="108"/>
      <c r="K96" s="108"/>
      <c r="L96" s="113" t="s">
        <v>15</v>
      </c>
    </row>
    <row r="97" spans="1:12" ht="15.75" customHeight="1">
      <c r="A97" s="106" t="str">
        <f>+IF(WEEKDAY(B97)=2,(many!B97-par!$B$5+par!$K$6)/7+1,"")</f>
        <v/>
      </c>
      <c r="B97" s="107">
        <f>+B96+IF(WEEKDAY(B96)=6,3,1)</f>
        <v>46149</v>
      </c>
      <c r="C97" s="108" t="s">
        <v>98</v>
      </c>
      <c r="D97" s="109"/>
      <c r="E97" s="110"/>
      <c r="F97" s="110"/>
      <c r="G97" s="111" t="s">
        <v>17</v>
      </c>
      <c r="H97" s="112"/>
      <c r="I97" s="108"/>
      <c r="J97" s="108"/>
      <c r="K97" s="108"/>
      <c r="L97" s="113"/>
    </row>
    <row r="98" spans="1:12" ht="16.5" customHeight="1">
      <c r="A98" s="114" t="str">
        <f>+IF(WEEKDAY(B98)=2,(many!B98-par!$B$5+par!$K$6)/7+1,"")</f>
        <v/>
      </c>
      <c r="B98" s="115">
        <f>+B97+IF(WEEKDAY(B97)=6,3,1)</f>
        <v>46150</v>
      </c>
      <c r="C98" s="116" t="s">
        <v>103</v>
      </c>
      <c r="D98" s="117"/>
      <c r="E98" s="118"/>
      <c r="F98" s="118"/>
      <c r="G98" s="119"/>
      <c r="H98" s="120"/>
      <c r="I98" s="116"/>
      <c r="J98" s="116"/>
      <c r="K98" s="116"/>
      <c r="L98" s="121"/>
    </row>
    <row r="99" spans="1:12" ht="16.5" customHeight="1">
      <c r="A99" s="96"/>
      <c r="B99" s="196" t="s">
        <v>80</v>
      </c>
      <c r="C99" s="225"/>
      <c r="D99" s="226"/>
      <c r="E99" s="226"/>
      <c r="F99" s="226"/>
      <c r="G99" s="226"/>
      <c r="H99" s="226"/>
      <c r="I99" s="226"/>
      <c r="J99" s="226"/>
      <c r="K99" s="227"/>
      <c r="L99" s="97"/>
    </row>
    <row r="100" spans="1:12" ht="15.75" customHeight="1">
      <c r="A100" s="98">
        <f>+IF(WEEKDAY(B100)=2,(many!B100-par!$B$5+par!$K$6)/7+1,"")</f>
        <v>20</v>
      </c>
      <c r="B100" s="99">
        <f>+B98+IF(WEEKDAY(B98)=6,3,1)</f>
        <v>46153</v>
      </c>
      <c r="C100" s="100" t="s">
        <v>103</v>
      </c>
      <c r="D100" s="101"/>
      <c r="E100" s="102" t="s">
        <v>137</v>
      </c>
      <c r="F100" s="102"/>
      <c r="G100" s="103"/>
      <c r="H100" s="104"/>
      <c r="I100" s="100" t="s">
        <v>137</v>
      </c>
      <c r="J100" s="100"/>
      <c r="K100" s="100"/>
      <c r="L100" s="105"/>
    </row>
    <row r="101" spans="1:12" ht="15.75" customHeight="1">
      <c r="A101" s="106" t="str">
        <f>+IF(WEEKDAY(B101)=2,(many!B101-par!$B$5+par!$K$6)/7+1,"")</f>
        <v/>
      </c>
      <c r="B101" s="107">
        <f>+B100+IF(WEEKDAY(B100)=6,3,1)</f>
        <v>46154</v>
      </c>
      <c r="C101" s="108" t="s">
        <v>103</v>
      </c>
      <c r="D101" s="109"/>
      <c r="E101" s="110"/>
      <c r="F101" s="110"/>
      <c r="G101" s="111"/>
      <c r="H101" s="112"/>
      <c r="I101" s="108"/>
      <c r="J101" s="108"/>
      <c r="K101" s="108"/>
      <c r="L101" s="113"/>
    </row>
    <row r="102" spans="1:12" ht="15.75" customHeight="1">
      <c r="A102" s="106" t="str">
        <f>+IF(WEEKDAY(B102)=2,(many!B102-par!$B$5+par!$K$6)/7+1,"")</f>
        <v/>
      </c>
      <c r="B102" s="107">
        <f>+B101+IF(WEEKDAY(B101)=6,3,1)</f>
        <v>46155</v>
      </c>
      <c r="C102" s="108" t="s">
        <v>102</v>
      </c>
      <c r="D102" s="109"/>
      <c r="E102" s="110"/>
      <c r="F102" s="110"/>
      <c r="G102" s="111"/>
      <c r="H102" s="112"/>
      <c r="I102" s="108" t="s">
        <v>137</v>
      </c>
      <c r="J102" s="108"/>
      <c r="K102" s="108"/>
      <c r="L102" s="113" t="s">
        <v>15</v>
      </c>
    </row>
    <row r="103" spans="1:12" ht="15.75" customHeight="1">
      <c r="A103" s="106" t="str">
        <f>+IF(WEEKDAY(B103)=2,(many!B103-par!$B$5+par!$K$6)/7+1,"")</f>
        <v/>
      </c>
      <c r="B103" s="107">
        <f>+B102+IF(WEEKDAY(B102)=6,3,1)</f>
        <v>46156</v>
      </c>
      <c r="C103" s="108" t="s">
        <v>104</v>
      </c>
      <c r="D103" s="109"/>
      <c r="E103" s="110"/>
      <c r="F103" s="110"/>
      <c r="G103" s="111"/>
      <c r="H103" s="112"/>
      <c r="I103" s="108"/>
      <c r="J103" s="108"/>
      <c r="K103" s="108"/>
      <c r="L103" s="113"/>
    </row>
    <row r="104" spans="1:12" ht="16.5" customHeight="1">
      <c r="A104" s="114" t="str">
        <f>+IF(WEEKDAY(B104)=2,(many!B104-par!$B$5+par!$K$6)/7+1,"")</f>
        <v/>
      </c>
      <c r="B104" s="115">
        <f>+B103+IF(WEEKDAY(B103)=6,3,1)</f>
        <v>46157</v>
      </c>
      <c r="C104" s="116" t="s">
        <v>104</v>
      </c>
      <c r="D104" s="117"/>
      <c r="E104" s="118"/>
      <c r="F104" s="118"/>
      <c r="G104" s="119"/>
      <c r="H104" s="120"/>
      <c r="I104" s="116"/>
      <c r="J104" s="116"/>
      <c r="K104" s="116"/>
      <c r="L104" s="121"/>
    </row>
    <row r="105" spans="1:12" ht="16.5" customHeight="1">
      <c r="A105" s="96"/>
      <c r="B105" s="196" t="s">
        <v>80</v>
      </c>
      <c r="C105" s="225"/>
      <c r="D105" s="226"/>
      <c r="E105" s="226"/>
      <c r="F105" s="226"/>
      <c r="G105" s="226"/>
      <c r="H105" s="226"/>
      <c r="I105" s="226"/>
      <c r="J105" s="226"/>
      <c r="K105" s="227"/>
      <c r="L105" s="97"/>
    </row>
    <row r="106" spans="1:12" ht="15.75" customHeight="1">
      <c r="A106" s="98">
        <f>+IF(WEEKDAY(B106)=2,(many!B106-par!$B$5+par!$K$6)/7+1,"")</f>
        <v>21</v>
      </c>
      <c r="B106" s="99">
        <f>+B104+IF(WEEKDAY(B104)=6,3,1)</f>
        <v>46160</v>
      </c>
      <c r="C106" s="100" t="s">
        <v>105</v>
      </c>
      <c r="D106" s="101"/>
      <c r="E106" s="102" t="s">
        <v>137</v>
      </c>
      <c r="F106" s="102"/>
      <c r="G106" s="103"/>
      <c r="H106" s="104"/>
      <c r="I106" s="100" t="s">
        <v>137</v>
      </c>
      <c r="J106" s="100"/>
      <c r="K106" s="100"/>
      <c r="L106" s="122"/>
    </row>
    <row r="107" spans="1:12" ht="15.75" customHeight="1">
      <c r="A107" s="106" t="str">
        <f>+IF(WEEKDAY(B107)=2,(many!B107-par!$B$5+par!$K$6)/7+1,"")</f>
        <v/>
      </c>
      <c r="B107" s="107">
        <f>+B106+IF(WEEKDAY(B106)=6,3,1)</f>
        <v>46161</v>
      </c>
      <c r="C107" s="108" t="s">
        <v>105</v>
      </c>
      <c r="D107" s="109"/>
      <c r="E107" s="110"/>
      <c r="F107" s="110"/>
      <c r="G107" s="111"/>
      <c r="H107" s="112"/>
      <c r="I107" s="108"/>
      <c r="J107" s="108"/>
      <c r="K107" s="108"/>
      <c r="L107" s="123"/>
    </row>
    <row r="108" spans="1:12" ht="15.75" customHeight="1">
      <c r="A108" s="106" t="str">
        <f>+IF(WEEKDAY(B108)=2,(many!B108-par!$B$5+par!$K$6)/7+1,"")</f>
        <v/>
      </c>
      <c r="B108" s="107">
        <f>+B107+IF(WEEKDAY(B107)=6,3,1)</f>
        <v>46162</v>
      </c>
      <c r="C108" s="108" t="s">
        <v>102</v>
      </c>
      <c r="D108" s="109"/>
      <c r="E108" s="110"/>
      <c r="F108" s="110"/>
      <c r="G108" s="111"/>
      <c r="H108" s="112"/>
      <c r="I108" s="108" t="s">
        <v>137</v>
      </c>
      <c r="J108" s="108"/>
      <c r="K108" s="108"/>
      <c r="L108" s="113" t="s">
        <v>15</v>
      </c>
    </row>
    <row r="109" spans="1:12" ht="15.75" customHeight="1">
      <c r="A109" s="106" t="str">
        <f>+IF(WEEKDAY(B109)=2,(many!B109-par!$B$5+par!$K$6)/7+1,"")</f>
        <v/>
      </c>
      <c r="B109" s="107">
        <f>+B108+IF(WEEKDAY(B108)=6,3,1)</f>
        <v>46163</v>
      </c>
      <c r="C109" s="108" t="s">
        <v>98</v>
      </c>
      <c r="D109" s="109"/>
      <c r="E109" s="110"/>
      <c r="F109" s="110"/>
      <c r="G109" s="111" t="s">
        <v>17</v>
      </c>
      <c r="H109" s="112"/>
      <c r="I109" s="108"/>
      <c r="J109" s="108"/>
      <c r="K109" s="108"/>
      <c r="L109" s="123"/>
    </row>
    <row r="110" spans="1:12" ht="16.5" customHeight="1">
      <c r="A110" s="114" t="str">
        <f>+IF(WEEKDAY(B110)=2,(many!B110-par!$B$5+par!$K$6)/7+1,"")</f>
        <v/>
      </c>
      <c r="B110" s="115">
        <f>+B109+IF(WEEKDAY(B109)=6,3,1)</f>
        <v>46164</v>
      </c>
      <c r="C110" s="116" t="s">
        <v>105</v>
      </c>
      <c r="D110" s="117"/>
      <c r="E110" s="118"/>
      <c r="F110" s="118"/>
      <c r="G110" s="119"/>
      <c r="H110" s="120"/>
      <c r="I110" s="116"/>
      <c r="J110" s="116"/>
      <c r="K110" s="116"/>
      <c r="L110" s="124"/>
    </row>
    <row r="111" spans="1:12" ht="16.5" customHeight="1">
      <c r="A111" s="96"/>
      <c r="B111" s="196" t="s">
        <v>80</v>
      </c>
      <c r="C111" s="225"/>
      <c r="D111" s="226"/>
      <c r="E111" s="226"/>
      <c r="F111" s="226"/>
      <c r="G111" s="226"/>
      <c r="H111" s="226"/>
      <c r="I111" s="226"/>
      <c r="J111" s="226"/>
      <c r="K111" s="227"/>
      <c r="L111" s="97"/>
    </row>
    <row r="112" spans="1:12" ht="15.75" customHeight="1">
      <c r="A112" s="98">
        <f>+IF(WEEKDAY(B112)=2,(many!B112-par!$B$5+par!$K$6)/7+1,"")</f>
        <v>22</v>
      </c>
      <c r="B112" s="99">
        <f>+B110+IF(WEEKDAY(B110)=6,3,1)</f>
        <v>46167</v>
      </c>
      <c r="C112" s="100" t="s">
        <v>105</v>
      </c>
      <c r="D112" s="101"/>
      <c r="E112" s="102" t="s">
        <v>137</v>
      </c>
      <c r="F112" s="102"/>
      <c r="G112" s="103"/>
      <c r="H112" s="104"/>
      <c r="I112" s="100" t="s">
        <v>137</v>
      </c>
      <c r="J112" s="100"/>
      <c r="K112" s="100"/>
      <c r="L112" s="105"/>
    </row>
    <row r="113" spans="1:12" ht="15.75" customHeight="1">
      <c r="A113" s="106" t="str">
        <f>+IF(WEEKDAY(B113)=2,(many!B113-par!$B$5+par!$K$6)/7+1,"")</f>
        <v/>
      </c>
      <c r="B113" s="107">
        <f>+B112+IF(WEEKDAY(B112)=6,3,1)</f>
        <v>46168</v>
      </c>
      <c r="C113" s="108" t="s">
        <v>105</v>
      </c>
      <c r="D113" s="109"/>
      <c r="E113" s="110"/>
      <c r="F113" s="110"/>
      <c r="G113" s="111"/>
      <c r="H113" s="112"/>
      <c r="I113" s="108"/>
      <c r="J113" s="108"/>
      <c r="K113" s="108"/>
      <c r="L113" s="113"/>
    </row>
    <row r="114" spans="1:12" ht="15.75" customHeight="1">
      <c r="A114" s="106" t="str">
        <f>+IF(WEEKDAY(B114)=2,(many!B114-par!$B$5+par!$K$6)/7+1,"")</f>
        <v/>
      </c>
      <c r="B114" s="107">
        <f>+B113+IF(WEEKDAY(B113)=6,3,1)</f>
        <v>46169</v>
      </c>
      <c r="C114" s="108" t="s">
        <v>106</v>
      </c>
      <c r="D114" s="109"/>
      <c r="E114" s="110"/>
      <c r="F114" s="110"/>
      <c r="G114" s="111"/>
      <c r="H114" s="112"/>
      <c r="I114" s="108" t="s">
        <v>137</v>
      </c>
      <c r="J114" s="108"/>
      <c r="K114" s="108"/>
      <c r="L114" s="113" t="s">
        <v>107</v>
      </c>
    </row>
    <row r="115" spans="1:12" ht="15.75" customHeight="1">
      <c r="A115" s="106" t="str">
        <f>+IF(WEEKDAY(B115)=2,(many!B115-par!$B$5+par!$K$6)/7+1,"")</f>
        <v/>
      </c>
      <c r="B115" s="107">
        <f>+B114+IF(WEEKDAY(B114)=6,3,1)</f>
        <v>46170</v>
      </c>
      <c r="C115" s="108"/>
      <c r="D115" s="109"/>
      <c r="E115" s="110"/>
      <c r="F115" s="110"/>
      <c r="G115" s="111"/>
      <c r="H115" s="112"/>
      <c r="I115" s="108"/>
      <c r="J115" s="108"/>
      <c r="K115" s="108"/>
      <c r="L115" s="113"/>
    </row>
    <row r="116" spans="1:12" ht="15.75" customHeight="1">
      <c r="A116" s="114" t="str">
        <f>+IF(WEEKDAY(B116)=2,(many!B116-par!$B$5+par!$K$6)/7+1,"")</f>
        <v/>
      </c>
      <c r="B116" s="115">
        <f>+B115+IF(WEEKDAY(B115)=6,3,1)</f>
        <v>46171</v>
      </c>
      <c r="C116" s="116"/>
      <c r="D116" s="117"/>
      <c r="E116" s="118"/>
      <c r="F116" s="118"/>
      <c r="G116" s="119"/>
      <c r="H116" s="120"/>
      <c r="I116" s="155"/>
      <c r="J116" s="116"/>
      <c r="K116" s="116"/>
      <c r="L116" s="121"/>
    </row>
    <row r="117" spans="1:12" ht="15.75" hidden="1" customHeight="1">
      <c r="A117" s="96"/>
      <c r="B117" s="196"/>
      <c r="C117" s="225"/>
      <c r="D117" s="226"/>
      <c r="E117" s="226"/>
      <c r="F117" s="226"/>
      <c r="G117" s="226"/>
      <c r="H117" s="226"/>
      <c r="I117" s="226"/>
      <c r="J117" s="226"/>
      <c r="K117" s="227"/>
      <c r="L117" s="97"/>
    </row>
    <row r="118" spans="1:12" ht="15.75" hidden="1" customHeight="1">
      <c r="A118" s="98" t="e">
        <f>+IF(WEEKDAY(B118)=2,(many!B118-par!$B$5+par!$K$6)/7+1,"")</f>
        <v>#REF!</v>
      </c>
      <c r="B118" s="99" t="e">
        <f>+#REF!+IF(WEEKDAY(#REF!)=6,3,1)</f>
        <v>#REF!</v>
      </c>
      <c r="C118" s="100"/>
      <c r="D118" s="101"/>
      <c r="E118" s="102"/>
      <c r="F118" s="102"/>
      <c r="G118" s="103"/>
      <c r="H118" s="104"/>
      <c r="I118" s="100"/>
      <c r="J118" s="100"/>
      <c r="K118" s="100"/>
      <c r="L118" s="105"/>
    </row>
    <row r="119" spans="1:12" ht="15.75" hidden="1" customHeight="1">
      <c r="A119" s="106" t="e">
        <f>+IF(WEEKDAY(B119)=2,(many!B119-par!$B$5+par!$K$6)/7+1,"")</f>
        <v>#REF!</v>
      </c>
      <c r="B119" s="107" t="e">
        <f>+B118+IF(WEEKDAY(B118)=6,3,1)</f>
        <v>#REF!</v>
      </c>
      <c r="C119" s="108"/>
      <c r="D119" s="109"/>
      <c r="E119" s="110"/>
      <c r="F119" s="110"/>
      <c r="G119" s="111"/>
      <c r="H119" s="112"/>
      <c r="I119" s="108"/>
      <c r="J119" s="108"/>
      <c r="K119" s="108"/>
      <c r="L119" s="113"/>
    </row>
    <row r="120" spans="1:12" ht="15.75" hidden="1" customHeight="1">
      <c r="A120" s="106" t="e">
        <f>+IF(WEEKDAY(B120)=2,(many!B120-par!$B$5+par!$K$6)/7+1,"")</f>
        <v>#REF!</v>
      </c>
      <c r="B120" s="107" t="e">
        <f>+B119+IF(WEEKDAY(B119)=6,3,1)</f>
        <v>#REF!</v>
      </c>
      <c r="C120" s="108"/>
      <c r="D120" s="109"/>
      <c r="E120" s="110"/>
      <c r="F120" s="110"/>
      <c r="G120" s="111"/>
      <c r="H120" s="112"/>
      <c r="I120" s="108"/>
      <c r="J120" s="108"/>
      <c r="K120" s="108"/>
      <c r="L120" s="113"/>
    </row>
    <row r="121" spans="1:12" ht="15.75" hidden="1" customHeight="1">
      <c r="A121" s="106" t="e">
        <f>+IF(WEEKDAY(B121)=2,(many!B121-par!$B$5+par!$K$6)/7+1,"")</f>
        <v>#REF!</v>
      </c>
      <c r="B121" s="107" t="e">
        <f>+B120+IF(WEEKDAY(B120)=6,3,1)</f>
        <v>#REF!</v>
      </c>
      <c r="C121" s="108"/>
      <c r="D121" s="109"/>
      <c r="E121" s="110"/>
      <c r="F121" s="110"/>
      <c r="G121" s="111"/>
      <c r="H121" s="112"/>
      <c r="I121" s="108"/>
      <c r="J121" s="108"/>
      <c r="K121" s="108"/>
      <c r="L121" s="113"/>
    </row>
    <row r="122" spans="1:12" ht="16.5" hidden="1" customHeight="1">
      <c r="A122" s="114" t="e">
        <f>+IF(WEEKDAY(B122)=2,(many!B122-par!$B$5+par!$K$6)/7+1,"")</f>
        <v>#REF!</v>
      </c>
      <c r="B122" s="115" t="e">
        <f>+B121+IF(WEEKDAY(B121)=6,3,1)</f>
        <v>#REF!</v>
      </c>
      <c r="C122" s="116"/>
      <c r="D122" s="117"/>
      <c r="E122" s="118"/>
      <c r="F122" s="118"/>
      <c r="G122" s="119"/>
      <c r="H122" s="120"/>
      <c r="I122" s="116"/>
      <c r="J122" s="116"/>
      <c r="K122" s="116"/>
      <c r="L122" s="121"/>
    </row>
    <row r="123" spans="1:12" ht="13.5" customHeight="1"/>
    <row r="124" spans="1:12" ht="15.75" customHeight="1">
      <c r="B124" s="156"/>
      <c r="C124" s="156" t="str">
        <f>+par!J11</f>
        <v/>
      </c>
      <c r="D124" s="8">
        <f>+COUNTIF(D4:D122,"x")</f>
        <v>0</v>
      </c>
      <c r="E124" s="8">
        <f>+COUNTIF(E4:E122,"x")</f>
        <v>17</v>
      </c>
      <c r="F124" s="8">
        <f>+COUNTIF(F4:F122,"x")</f>
        <v>0</v>
      </c>
      <c r="G124" s="8">
        <f>+COUNTIF(G4:G122,"m")+COUNTIF(G4:G122,"e")</f>
        <v>15</v>
      </c>
      <c r="H124" s="8">
        <f>+COUNTIF(H4:H122,"x")</f>
        <v>0</v>
      </c>
      <c r="I124" s="8">
        <f>+COUNTIF(I4:I122,"x")</f>
        <v>29</v>
      </c>
      <c r="J124" s="8">
        <f>+COUNTIF(J4:J122,"x")</f>
        <v>0</v>
      </c>
      <c r="K124" s="8">
        <f>+COUNTIF(K4:K122,"m")+COUNTIF(K4:K122,"e")</f>
        <v>0</v>
      </c>
      <c r="L124" s="7" t="s">
        <v>108</v>
      </c>
    </row>
    <row r="125" spans="1:12" ht="12.75" customHeight="1">
      <c r="C125" s="156" t="str">
        <f>+par!J12</f>
        <v/>
      </c>
    </row>
    <row r="240" spans="1:12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</sheetData>
  <mergeCells count="31">
    <mergeCell ref="B117:K117"/>
    <mergeCell ref="B86:K86"/>
    <mergeCell ref="B87:K87"/>
    <mergeCell ref="B93:K93"/>
    <mergeCell ref="B99:K99"/>
    <mergeCell ref="B105:K105"/>
    <mergeCell ref="B111:K111"/>
    <mergeCell ref="B80:K80"/>
    <mergeCell ref="B29:K29"/>
    <mergeCell ref="B35:K35"/>
    <mergeCell ref="B36:K36"/>
    <mergeCell ref="B42:K42"/>
    <mergeCell ref="B48:K48"/>
    <mergeCell ref="B54:K54"/>
    <mergeCell ref="B60:K60"/>
    <mergeCell ref="B61:K61"/>
    <mergeCell ref="B67:K67"/>
    <mergeCell ref="B68:K68"/>
    <mergeCell ref="B74:K74"/>
    <mergeCell ref="L1:L2"/>
    <mergeCell ref="B23:K23"/>
    <mergeCell ref="A1:A2"/>
    <mergeCell ref="B1:B2"/>
    <mergeCell ref="C1:C2"/>
    <mergeCell ref="D1:G1"/>
    <mergeCell ref="H1:K1"/>
    <mergeCell ref="B3:K3"/>
    <mergeCell ref="B4:K4"/>
    <mergeCell ref="B10:K10"/>
    <mergeCell ref="B16:K16"/>
    <mergeCell ref="B17:K17"/>
  </mergeCells>
  <phoneticPr fontId="14" type="noConversion"/>
  <dataValidations count="1">
    <dataValidation type="list" allowBlank="1" showInputMessage="1" showErrorMessage="1" sqref="B125 B138 B135 B133 B131 B127:B128" xr:uid="{0F27829E-7867-4C5B-B7EB-B9E89B5CF139}">
      <formula1>Validatielijst</formula1>
    </dataValidation>
  </dataValidations>
  <pageMargins left="0.7" right="0.7" top="0.75" bottom="0.7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2.75" customHeight="1"/>
  <sheetData/>
  <phoneticPr fontId="14" type="noConversion"/>
  <pageMargins left="0.7" right="0.7" top="0.75" bottom="0.75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BBA2F9A185FD24BBEC099AEC2348145" ma:contentTypeVersion="3" ma:contentTypeDescription="Opret et nyt dokument." ma:contentTypeScope="" ma:versionID="96c1c3ae1aa64544b9bb954ea6cb1f29">
  <xsd:schema xmlns:xsd="http://www.w3.org/2001/XMLSchema" xmlns:xs="http://www.w3.org/2001/XMLSchema" xmlns:p="http://schemas.microsoft.com/office/2006/metadata/properties" xmlns:ns2="17f6cf66-9d3d-4e85-b1eb-1098f98a3ecb" targetNamespace="http://schemas.microsoft.com/office/2006/metadata/properties" ma:root="true" ma:fieldsID="7793e2e50022d1bc0b5d1785f48abafd" ns2:_="">
    <xsd:import namespace="17f6cf66-9d3d-4e85-b1eb-1098f98a3e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6cf66-9d3d-4e85-b1eb-1098f98a3e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FFE97D-F532-4A6D-ACC3-C2D8FEAD240E}"/>
</file>

<file path=customXml/itemProps2.xml><?xml version="1.0" encoding="utf-8"?>
<ds:datastoreItem xmlns:ds="http://schemas.openxmlformats.org/officeDocument/2006/customXml" ds:itemID="{13207538-D816-4EE5-BA95-8900F5B1C575}"/>
</file>

<file path=customXml/itemProps3.xml><?xml version="1.0" encoding="utf-8"?>
<ds:datastoreItem xmlns:ds="http://schemas.openxmlformats.org/officeDocument/2006/customXml" ds:itemID="{48F932EC-2D83-4FC0-B071-275129C1F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Atos Origin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Homer</dc:creator>
  <cp:keywords/>
  <dc:description/>
  <cp:lastModifiedBy/>
  <cp:revision/>
  <dcterms:created xsi:type="dcterms:W3CDTF">2023-12-06T10:18:58Z</dcterms:created>
  <dcterms:modified xsi:type="dcterms:W3CDTF">2025-12-14T11:10:24Z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0x0101000BBA2F9A185FD24BBEC099AEC2348145</vt:lpwstr>
  </property>
  <property fmtid="{D5CDD505-2E9C-101B-9397-08002B2CF9AE}" pid="3" name="_ExtendedDescription">
    <vt:lpwstr/>
  </property>
</Properties>
</file>